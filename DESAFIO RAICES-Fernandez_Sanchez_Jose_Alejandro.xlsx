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f\Downloads\"/>
    </mc:Choice>
  </mc:AlternateContent>
  <xr:revisionPtr revIDLastSave="0" documentId="13_ncr:1_{0CE3B9DA-58B0-439F-8004-40E58A742074}" xr6:coauthVersionLast="47" xr6:coauthVersionMax="47" xr10:uidLastSave="{00000000-0000-0000-0000-000000000000}"/>
  <bookViews>
    <workbookView xWindow="-120" yWindow="-120" windowWidth="20730" windowHeight="11160" activeTab="3" xr2:uid="{288118A3-E801-4657-BCC2-8C2EE96A7304}"/>
  </bookViews>
  <sheets>
    <sheet name="EJERCICIO-1" sheetId="1" r:id="rId1"/>
    <sheet name="EJERCICIO-2" sheetId="2" r:id="rId2"/>
    <sheet name="EJERCICIO-3" sheetId="3" r:id="rId3"/>
    <sheet name="EJERCICIO-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2" i="4" l="1"/>
  <c r="U43" i="4"/>
  <c r="U41" i="4"/>
  <c r="T43" i="4"/>
  <c r="T42" i="4"/>
  <c r="V42" i="4"/>
  <c r="T41" i="4"/>
  <c r="V41" i="4" s="1"/>
  <c r="AC36" i="3"/>
  <c r="AN37" i="3"/>
  <c r="AN38" i="3"/>
  <c r="AN36" i="3"/>
  <c r="AM38" i="3"/>
  <c r="AO38" i="3" s="1"/>
  <c r="AM37" i="3"/>
  <c r="AM36" i="3"/>
  <c r="AH37" i="3"/>
  <c r="AI37" i="3" s="1"/>
  <c r="AJ37" i="3" s="1"/>
  <c r="AH36" i="3"/>
  <c r="AI36" i="3" s="1"/>
  <c r="AJ36" i="3" s="1"/>
  <c r="AF37" i="3"/>
  <c r="AI38" i="3"/>
  <c r="AH38" i="3"/>
  <c r="AF36" i="3"/>
  <c r="AD37" i="3"/>
  <c r="AD38" i="3"/>
  <c r="AD36" i="3"/>
  <c r="AE36" i="3" s="1"/>
  <c r="AC38" i="3"/>
  <c r="AC37" i="3"/>
  <c r="AE37" i="3"/>
  <c r="AO37" i="3"/>
  <c r="AJ38" i="3"/>
  <c r="S37" i="2"/>
  <c r="S36" i="2"/>
  <c r="Q37" i="2"/>
  <c r="Q38" i="2"/>
  <c r="P38" i="2"/>
  <c r="P37" i="2"/>
  <c r="P36" i="2"/>
  <c r="AC78" i="1"/>
  <c r="AC77" i="1"/>
  <c r="X78" i="1"/>
  <c r="X77" i="1"/>
  <c r="X76" i="1"/>
  <c r="AB77" i="1"/>
  <c r="AB78" i="1"/>
  <c r="AA77" i="1"/>
  <c r="AA78" i="1"/>
  <c r="AA76" i="1"/>
  <c r="Z78" i="1"/>
  <c r="Z77" i="1"/>
  <c r="Z76" i="1"/>
  <c r="U78" i="1"/>
  <c r="V78" i="1" s="1"/>
  <c r="W78" i="1" s="1"/>
  <c r="U77" i="1"/>
  <c r="V77" i="1" s="1"/>
  <c r="W77" i="1" s="1"/>
  <c r="U76" i="1"/>
  <c r="V76" i="1" s="1"/>
  <c r="N77" i="4"/>
  <c r="O77" i="4" s="1"/>
  <c r="P77" i="4" s="1"/>
  <c r="N76" i="4"/>
  <c r="O76" i="4" s="1"/>
  <c r="P76" i="4" s="1"/>
  <c r="O74" i="4"/>
  <c r="O73" i="4"/>
  <c r="H78" i="4"/>
  <c r="I78" i="4" s="1"/>
  <c r="J78" i="4" s="1"/>
  <c r="H77" i="4"/>
  <c r="I77" i="4" s="1"/>
  <c r="J77" i="4" s="1"/>
  <c r="I74" i="4"/>
  <c r="I73" i="4"/>
  <c r="I59" i="4"/>
  <c r="P59" i="4"/>
  <c r="O59" i="4"/>
  <c r="J59" i="4"/>
  <c r="I12" i="4"/>
  <c r="T89" i="3"/>
  <c r="U89" i="3" s="1"/>
  <c r="V89" i="3" s="1"/>
  <c r="T88" i="3"/>
  <c r="U88" i="3" s="1"/>
  <c r="V88" i="3" s="1"/>
  <c r="T87" i="3"/>
  <c r="U87" i="3" s="1"/>
  <c r="V87" i="3" s="1"/>
  <c r="N88" i="3"/>
  <c r="O88" i="3" s="1"/>
  <c r="P88" i="3" s="1"/>
  <c r="N87" i="3"/>
  <c r="O87" i="3" s="1"/>
  <c r="P87" i="3" s="1"/>
  <c r="H89" i="3"/>
  <c r="I89" i="3" s="1"/>
  <c r="J89" i="3" s="1"/>
  <c r="H88" i="3"/>
  <c r="I88" i="3" s="1"/>
  <c r="J88" i="3" s="1"/>
  <c r="H87" i="3"/>
  <c r="I87" i="3" s="1"/>
  <c r="J87" i="3" s="1"/>
  <c r="U85" i="3"/>
  <c r="U84" i="3"/>
  <c r="O85" i="3"/>
  <c r="P85" i="3" s="1"/>
  <c r="O84" i="3"/>
  <c r="I85" i="3"/>
  <c r="I84" i="3"/>
  <c r="T79" i="3"/>
  <c r="U79" i="3" s="1"/>
  <c r="T77" i="3"/>
  <c r="U77" i="3" s="1"/>
  <c r="T76" i="3"/>
  <c r="U76" i="3" s="1"/>
  <c r="V76" i="3" s="1"/>
  <c r="U74" i="3"/>
  <c r="U73" i="3"/>
  <c r="N78" i="3"/>
  <c r="O78" i="3" s="1"/>
  <c r="P78" i="3" s="1"/>
  <c r="N77" i="3"/>
  <c r="O77" i="3" s="1"/>
  <c r="P77" i="3" s="1"/>
  <c r="N76" i="3"/>
  <c r="O76" i="3" s="1"/>
  <c r="P76" i="3" s="1"/>
  <c r="O74" i="3"/>
  <c r="P74" i="3" s="1"/>
  <c r="O73" i="3"/>
  <c r="H79" i="3"/>
  <c r="I79" i="3" s="1"/>
  <c r="J79" i="3" s="1"/>
  <c r="H78" i="3"/>
  <c r="I78" i="3" s="1"/>
  <c r="J78" i="3" s="1"/>
  <c r="H77" i="3"/>
  <c r="I77" i="3" s="1"/>
  <c r="J77" i="3" s="1"/>
  <c r="H76" i="3"/>
  <c r="I76" i="3" s="1"/>
  <c r="J76" i="3" s="1"/>
  <c r="I75" i="3"/>
  <c r="H75" i="3"/>
  <c r="I74" i="3"/>
  <c r="I73" i="3"/>
  <c r="I59" i="3"/>
  <c r="H60" i="3" s="1"/>
  <c r="J74" i="3"/>
  <c r="P59" i="3"/>
  <c r="N60" i="3" s="1"/>
  <c r="V59" i="3"/>
  <c r="U59" i="3"/>
  <c r="J59" i="3"/>
  <c r="O59" i="3"/>
  <c r="K60" i="2"/>
  <c r="H60" i="2"/>
  <c r="I12" i="3"/>
  <c r="R33" i="3"/>
  <c r="U33" i="3" s="1"/>
  <c r="U32" i="3"/>
  <c r="R32" i="3"/>
  <c r="U31" i="3"/>
  <c r="T31" i="3"/>
  <c r="S31" i="3"/>
  <c r="Q32" i="3" s="1"/>
  <c r="O74" i="2"/>
  <c r="O73" i="2"/>
  <c r="H77" i="2"/>
  <c r="I77" i="2" s="1"/>
  <c r="J77" i="2" s="1"/>
  <c r="H76" i="2"/>
  <c r="I76" i="2" s="1"/>
  <c r="J76" i="2" s="1"/>
  <c r="I75" i="2"/>
  <c r="J75" i="2" s="1"/>
  <c r="H75" i="2"/>
  <c r="I74" i="2"/>
  <c r="J74" i="2" s="1"/>
  <c r="I74" i="1"/>
  <c r="J74" i="1" s="1"/>
  <c r="I73" i="2"/>
  <c r="I59" i="2"/>
  <c r="I60" i="2" s="1"/>
  <c r="N61" i="2"/>
  <c r="O61" i="2" s="1"/>
  <c r="Q61" i="2" s="1"/>
  <c r="P59" i="2"/>
  <c r="N60" i="2" s="1"/>
  <c r="P60" i="2" s="1"/>
  <c r="J59" i="2"/>
  <c r="O59" i="2"/>
  <c r="K60" i="1"/>
  <c r="H60" i="1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O74" i="1"/>
  <c r="O73" i="1"/>
  <c r="I73" i="1"/>
  <c r="H75" i="1" s="1"/>
  <c r="I59" i="1"/>
  <c r="N64" i="1"/>
  <c r="O64" i="1" s="1"/>
  <c r="Q64" i="1" s="1"/>
  <c r="N63" i="1"/>
  <c r="O63" i="1" s="1"/>
  <c r="Q63" i="1" s="1"/>
  <c r="P59" i="1"/>
  <c r="O59" i="1"/>
  <c r="N60" i="1" s="1"/>
  <c r="I60" i="1"/>
  <c r="L50" i="1"/>
  <c r="J59" i="1"/>
  <c r="I14" i="1"/>
  <c r="V43" i="4" l="1"/>
  <c r="AO36" i="3"/>
  <c r="AE38" i="3"/>
  <c r="R37" i="2"/>
  <c r="Q36" i="2"/>
  <c r="R36" i="2" s="1"/>
  <c r="R38" i="2"/>
  <c r="AB76" i="1"/>
  <c r="W76" i="1"/>
  <c r="N75" i="4"/>
  <c r="O75" i="4" s="1"/>
  <c r="P75" i="4" s="1"/>
  <c r="P74" i="4"/>
  <c r="N60" i="4"/>
  <c r="H60" i="4"/>
  <c r="H75" i="4"/>
  <c r="J74" i="4"/>
  <c r="P60" i="4"/>
  <c r="O60" i="4"/>
  <c r="Q60" i="4" s="1"/>
  <c r="J60" i="4"/>
  <c r="I60" i="4"/>
  <c r="H61" i="4" s="1"/>
  <c r="T86" i="3"/>
  <c r="U86" i="3" s="1"/>
  <c r="V86" i="3" s="1"/>
  <c r="H86" i="3"/>
  <c r="I86" i="3" s="1"/>
  <c r="J86" i="3" s="1"/>
  <c r="V85" i="3"/>
  <c r="N86" i="3"/>
  <c r="O86" i="3" s="1"/>
  <c r="P86" i="3" s="1"/>
  <c r="J85" i="3"/>
  <c r="V79" i="3"/>
  <c r="T80" i="3"/>
  <c r="U80" i="3" s="1"/>
  <c r="V80" i="3" s="1"/>
  <c r="V77" i="3"/>
  <c r="T78" i="3"/>
  <c r="U78" i="3" s="1"/>
  <c r="V78" i="3" s="1"/>
  <c r="T75" i="3"/>
  <c r="U75" i="3" s="1"/>
  <c r="V75" i="3" s="1"/>
  <c r="V74" i="3"/>
  <c r="N75" i="3"/>
  <c r="O75" i="3" s="1"/>
  <c r="P75" i="3" s="1"/>
  <c r="J75" i="3"/>
  <c r="P60" i="3"/>
  <c r="O60" i="3"/>
  <c r="Q60" i="3" s="1"/>
  <c r="T60" i="3"/>
  <c r="V60" i="3" s="1"/>
  <c r="I60" i="3"/>
  <c r="K60" i="3" s="1"/>
  <c r="J60" i="3"/>
  <c r="S32" i="3"/>
  <c r="T32" i="3"/>
  <c r="V31" i="3"/>
  <c r="X31" i="3" s="1"/>
  <c r="N75" i="2"/>
  <c r="O75" i="2"/>
  <c r="P75" i="2" s="1"/>
  <c r="P74" i="2"/>
  <c r="P61" i="2"/>
  <c r="O60" i="2"/>
  <c r="J60" i="2"/>
  <c r="H61" i="2" s="1"/>
  <c r="Q60" i="2"/>
  <c r="N75" i="1"/>
  <c r="P74" i="1"/>
  <c r="J60" i="1"/>
  <c r="H61" i="1" s="1"/>
  <c r="P64" i="1"/>
  <c r="P63" i="1"/>
  <c r="O60" i="1"/>
  <c r="Q60" i="1" s="1"/>
  <c r="P60" i="1"/>
  <c r="O75" i="1" l="1"/>
  <c r="P75" i="1" s="1"/>
  <c r="N76" i="1"/>
  <c r="I75" i="4"/>
  <c r="H76" i="4" s="1"/>
  <c r="I76" i="4" s="1"/>
  <c r="J76" i="4" s="1"/>
  <c r="N61" i="4"/>
  <c r="I61" i="4"/>
  <c r="K61" i="4" s="1"/>
  <c r="J61" i="4"/>
  <c r="H62" i="4" s="1"/>
  <c r="K60" i="4"/>
  <c r="U60" i="3"/>
  <c r="W60" i="3" s="1"/>
  <c r="N61" i="3"/>
  <c r="H61" i="3"/>
  <c r="Q33" i="3"/>
  <c r="V32" i="3"/>
  <c r="N76" i="2"/>
  <c r="O76" i="2" s="1"/>
  <c r="P76" i="2" s="1"/>
  <c r="I75" i="1"/>
  <c r="J75" i="1" s="1"/>
  <c r="J61" i="2"/>
  <c r="I61" i="2"/>
  <c r="K61" i="2" s="1"/>
  <c r="J61" i="1"/>
  <c r="I61" i="1"/>
  <c r="K61" i="1" s="1"/>
  <c r="H62" i="1"/>
  <c r="N61" i="1"/>
  <c r="O76" i="1" l="1"/>
  <c r="P76" i="1" s="1"/>
  <c r="J75" i="4"/>
  <c r="O61" i="4"/>
  <c r="Q61" i="4" s="1"/>
  <c r="P61" i="4"/>
  <c r="N62" i="4" s="1"/>
  <c r="I62" i="4"/>
  <c r="K62" i="4" s="1"/>
  <c r="J62" i="4"/>
  <c r="H63" i="4" s="1"/>
  <c r="T61" i="3"/>
  <c r="U61" i="3" s="1"/>
  <c r="W61" i="3" s="1"/>
  <c r="O61" i="3"/>
  <c r="Q61" i="3" s="1"/>
  <c r="P61" i="3"/>
  <c r="N62" i="3"/>
  <c r="V61" i="3"/>
  <c r="I61" i="3"/>
  <c r="K61" i="3" s="1"/>
  <c r="J61" i="3"/>
  <c r="H62" i="3" s="1"/>
  <c r="X32" i="3"/>
  <c r="W32" i="3"/>
  <c r="Q34" i="3"/>
  <c r="T33" i="3"/>
  <c r="S33" i="3"/>
  <c r="H76" i="1"/>
  <c r="H62" i="2"/>
  <c r="I62" i="1"/>
  <c r="K62" i="1" s="1"/>
  <c r="J62" i="1"/>
  <c r="P61" i="1"/>
  <c r="O61" i="1"/>
  <c r="Q61" i="1" s="1"/>
  <c r="N77" i="1" l="1"/>
  <c r="O62" i="4"/>
  <c r="Q62" i="4" s="1"/>
  <c r="P62" i="4"/>
  <c r="I63" i="4"/>
  <c r="K63" i="4" s="1"/>
  <c r="J63" i="4"/>
  <c r="O62" i="3"/>
  <c r="Q62" i="3" s="1"/>
  <c r="P62" i="3"/>
  <c r="T62" i="3"/>
  <c r="I62" i="3"/>
  <c r="K62" i="3" s="1"/>
  <c r="J62" i="3"/>
  <c r="V33" i="3"/>
  <c r="R34" i="3"/>
  <c r="U34" i="3" s="1"/>
  <c r="T34" i="3"/>
  <c r="Q35" i="3"/>
  <c r="S34" i="3"/>
  <c r="I76" i="1"/>
  <c r="J76" i="1" s="1"/>
  <c r="H77" i="1"/>
  <c r="I62" i="2"/>
  <c r="K62" i="2" s="1"/>
  <c r="J62" i="2"/>
  <c r="N62" i="1"/>
  <c r="O77" i="1" l="1"/>
  <c r="P77" i="1" s="1"/>
  <c r="U62" i="3"/>
  <c r="W62" i="3" s="1"/>
  <c r="V62" i="3"/>
  <c r="T63" i="3" s="1"/>
  <c r="H63" i="3"/>
  <c r="R35" i="3"/>
  <c r="U35" i="3" s="1"/>
  <c r="V34" i="3"/>
  <c r="S35" i="3"/>
  <c r="Q36" i="3"/>
  <c r="T35" i="3"/>
  <c r="W33" i="3"/>
  <c r="X33" i="3"/>
  <c r="I77" i="1"/>
  <c r="J77" i="1" s="1"/>
  <c r="H78" i="1"/>
  <c r="I78" i="1" s="1"/>
  <c r="J78" i="1" s="1"/>
  <c r="P62" i="1"/>
  <c r="O62" i="1"/>
  <c r="Q62" i="1" s="1"/>
  <c r="N78" i="1" l="1"/>
  <c r="U63" i="3"/>
  <c r="W63" i="3" s="1"/>
  <c r="V63" i="3"/>
  <c r="I63" i="3"/>
  <c r="K63" i="3" s="1"/>
  <c r="J63" i="3"/>
  <c r="H64" i="3" s="1"/>
  <c r="W34" i="3"/>
  <c r="X34" i="3"/>
  <c r="T36" i="3"/>
  <c r="V35" i="3"/>
  <c r="R36" i="3"/>
  <c r="L13" i="3"/>
  <c r="G13" i="4"/>
  <c r="J13" i="4" s="1"/>
  <c r="F13" i="4"/>
  <c r="F14" i="4" s="1"/>
  <c r="J12" i="4"/>
  <c r="C14" i="4"/>
  <c r="C13" i="4"/>
  <c r="H12" i="4"/>
  <c r="K12" i="4" s="1"/>
  <c r="M12" i="4" s="1"/>
  <c r="C41" i="4"/>
  <c r="C42" i="4"/>
  <c r="C39" i="4"/>
  <c r="C40" i="4"/>
  <c r="C31" i="4"/>
  <c r="C32" i="4"/>
  <c r="C33" i="4"/>
  <c r="C34" i="4"/>
  <c r="C35" i="4"/>
  <c r="C36" i="4"/>
  <c r="C37" i="4"/>
  <c r="C38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15" i="4"/>
  <c r="C16" i="4"/>
  <c r="C17" i="4"/>
  <c r="C12" i="4"/>
  <c r="C26" i="3"/>
  <c r="C27" i="3"/>
  <c r="L32" i="3"/>
  <c r="M31" i="3"/>
  <c r="I31" i="3"/>
  <c r="F44" i="3"/>
  <c r="G44" i="3"/>
  <c r="H44" i="3"/>
  <c r="K44" i="3" s="1"/>
  <c r="I44" i="3"/>
  <c r="J44" i="3"/>
  <c r="F43" i="3"/>
  <c r="G43" i="3"/>
  <c r="H43" i="3"/>
  <c r="K43" i="3" s="1"/>
  <c r="I43" i="3"/>
  <c r="J43" i="3"/>
  <c r="H42" i="3"/>
  <c r="I42" i="3"/>
  <c r="J42" i="3"/>
  <c r="K42" i="3"/>
  <c r="L42" i="3" s="1"/>
  <c r="G42" i="3"/>
  <c r="F42" i="3"/>
  <c r="F41" i="3"/>
  <c r="G41" i="3"/>
  <c r="H41" i="3"/>
  <c r="K41" i="3" s="1"/>
  <c r="I41" i="3"/>
  <c r="J41" i="3"/>
  <c r="G40" i="3"/>
  <c r="H40" i="3" s="1"/>
  <c r="K40" i="3" s="1"/>
  <c r="J40" i="3"/>
  <c r="F40" i="3"/>
  <c r="I40" i="3" s="1"/>
  <c r="F39" i="3"/>
  <c r="G39" i="3"/>
  <c r="H39" i="3" s="1"/>
  <c r="K39" i="3" s="1"/>
  <c r="I39" i="3"/>
  <c r="J39" i="3"/>
  <c r="F38" i="3"/>
  <c r="G38" i="3"/>
  <c r="H38" i="3"/>
  <c r="K38" i="3" s="1"/>
  <c r="I38" i="3"/>
  <c r="J38" i="3"/>
  <c r="F37" i="3"/>
  <c r="G37" i="3"/>
  <c r="H37" i="3"/>
  <c r="K37" i="3" s="1"/>
  <c r="I37" i="3"/>
  <c r="J37" i="3"/>
  <c r="H36" i="3"/>
  <c r="I36" i="3"/>
  <c r="J36" i="3"/>
  <c r="K36" i="3"/>
  <c r="L36" i="3" s="1"/>
  <c r="G36" i="3"/>
  <c r="F36" i="3"/>
  <c r="H35" i="3"/>
  <c r="I35" i="3"/>
  <c r="J35" i="3"/>
  <c r="M35" i="3" s="1"/>
  <c r="K35" i="3"/>
  <c r="L35" i="3"/>
  <c r="G35" i="3"/>
  <c r="F35" i="3"/>
  <c r="H34" i="3"/>
  <c r="I34" i="3"/>
  <c r="J34" i="3"/>
  <c r="K34" i="3"/>
  <c r="L34" i="3" s="1"/>
  <c r="G34" i="3"/>
  <c r="F34" i="3"/>
  <c r="H33" i="3"/>
  <c r="I33" i="3"/>
  <c r="J33" i="3"/>
  <c r="K33" i="3"/>
  <c r="L33" i="3" s="1"/>
  <c r="G33" i="3"/>
  <c r="F33" i="3"/>
  <c r="M32" i="3"/>
  <c r="H32" i="3"/>
  <c r="I32" i="3"/>
  <c r="J32" i="3"/>
  <c r="K32" i="3"/>
  <c r="G32" i="3"/>
  <c r="F32" i="3"/>
  <c r="M12" i="3"/>
  <c r="J31" i="3"/>
  <c r="K31" i="3"/>
  <c r="H31" i="3"/>
  <c r="F26" i="3"/>
  <c r="G26" i="3"/>
  <c r="H26" i="3"/>
  <c r="K26" i="3" s="1"/>
  <c r="I26" i="3"/>
  <c r="J26" i="3"/>
  <c r="G25" i="3"/>
  <c r="H25" i="3"/>
  <c r="K25" i="3" s="1"/>
  <c r="J25" i="3"/>
  <c r="F25" i="3"/>
  <c r="I25" i="3" s="1"/>
  <c r="G24" i="3"/>
  <c r="H24" i="3" s="1"/>
  <c r="K24" i="3" s="1"/>
  <c r="J24" i="3"/>
  <c r="F24" i="3"/>
  <c r="I24" i="3" s="1"/>
  <c r="F23" i="3"/>
  <c r="G23" i="3"/>
  <c r="H23" i="3"/>
  <c r="K23" i="3" s="1"/>
  <c r="I23" i="3"/>
  <c r="J23" i="3"/>
  <c r="F22" i="3"/>
  <c r="G22" i="3"/>
  <c r="H22" i="3"/>
  <c r="K22" i="3" s="1"/>
  <c r="I22" i="3"/>
  <c r="J22" i="3"/>
  <c r="F21" i="3"/>
  <c r="G21" i="3"/>
  <c r="H21" i="3"/>
  <c r="K21" i="3" s="1"/>
  <c r="I21" i="3"/>
  <c r="J21" i="3"/>
  <c r="F20" i="3"/>
  <c r="G20" i="3"/>
  <c r="H20" i="3"/>
  <c r="K20" i="3" s="1"/>
  <c r="I20" i="3"/>
  <c r="J20" i="3"/>
  <c r="H19" i="3"/>
  <c r="I19" i="3"/>
  <c r="J19" i="3"/>
  <c r="K19" i="3"/>
  <c r="L19" i="3" s="1"/>
  <c r="G19" i="3"/>
  <c r="F19" i="3"/>
  <c r="H18" i="3"/>
  <c r="K18" i="3" s="1"/>
  <c r="I18" i="3"/>
  <c r="J18" i="3"/>
  <c r="G18" i="3"/>
  <c r="F18" i="3"/>
  <c r="F17" i="3"/>
  <c r="H17" i="3" s="1"/>
  <c r="K17" i="3" s="1"/>
  <c r="G17" i="3"/>
  <c r="I17" i="3"/>
  <c r="J17" i="3"/>
  <c r="H16" i="3"/>
  <c r="I16" i="3"/>
  <c r="J16" i="3"/>
  <c r="K16" i="3"/>
  <c r="L16" i="3" s="1"/>
  <c r="G16" i="3"/>
  <c r="F16" i="3"/>
  <c r="H15" i="3"/>
  <c r="K15" i="3" s="1"/>
  <c r="I15" i="3"/>
  <c r="J15" i="3"/>
  <c r="G15" i="3"/>
  <c r="F15" i="3"/>
  <c r="F14" i="3"/>
  <c r="I14" i="3" s="1"/>
  <c r="G14" i="3"/>
  <c r="H14" i="3"/>
  <c r="K14" i="3" s="1"/>
  <c r="J14" i="3"/>
  <c r="L13" i="2"/>
  <c r="M13" i="3"/>
  <c r="H13" i="3"/>
  <c r="I13" i="3"/>
  <c r="J13" i="3"/>
  <c r="K13" i="3"/>
  <c r="J12" i="3"/>
  <c r="K12" i="3"/>
  <c r="G13" i="3"/>
  <c r="F13" i="3"/>
  <c r="M12" i="2"/>
  <c r="H12" i="3"/>
  <c r="G12" i="3"/>
  <c r="F12" i="3"/>
  <c r="C23" i="3"/>
  <c r="C24" i="3"/>
  <c r="C25" i="3"/>
  <c r="C17" i="3"/>
  <c r="C18" i="3"/>
  <c r="C19" i="3"/>
  <c r="C20" i="3"/>
  <c r="C21" i="3"/>
  <c r="C22" i="3"/>
  <c r="H24" i="2"/>
  <c r="I24" i="2"/>
  <c r="J24" i="2"/>
  <c r="K24" i="2"/>
  <c r="L24" i="2" s="1"/>
  <c r="G24" i="2"/>
  <c r="F24" i="2"/>
  <c r="H23" i="2"/>
  <c r="I23" i="2"/>
  <c r="J23" i="2"/>
  <c r="K23" i="2"/>
  <c r="L23" i="2"/>
  <c r="M23" i="2"/>
  <c r="G23" i="2"/>
  <c r="F23" i="2"/>
  <c r="F22" i="2"/>
  <c r="H22" i="2" s="1"/>
  <c r="G22" i="2"/>
  <c r="I22" i="2"/>
  <c r="J22" i="2"/>
  <c r="G21" i="2"/>
  <c r="F21" i="2"/>
  <c r="H21" i="2"/>
  <c r="I21" i="2"/>
  <c r="J21" i="2"/>
  <c r="K21" i="2"/>
  <c r="L21" i="2" s="1"/>
  <c r="F20" i="2"/>
  <c r="G20" i="2"/>
  <c r="H20" i="2"/>
  <c r="K20" i="2" s="1"/>
  <c r="I20" i="2"/>
  <c r="J20" i="2"/>
  <c r="H19" i="2"/>
  <c r="I19" i="2"/>
  <c r="J19" i="2"/>
  <c r="K19" i="2"/>
  <c r="L19" i="2" s="1"/>
  <c r="G19" i="2"/>
  <c r="F19" i="2"/>
  <c r="H18" i="2"/>
  <c r="I18" i="2"/>
  <c r="J18" i="2"/>
  <c r="M18" i="2" s="1"/>
  <c r="K18" i="2"/>
  <c r="L18" i="2" s="1"/>
  <c r="G18" i="2"/>
  <c r="F18" i="2"/>
  <c r="H17" i="2"/>
  <c r="I17" i="2"/>
  <c r="J17" i="2"/>
  <c r="K17" i="2"/>
  <c r="L17" i="2" s="1"/>
  <c r="G17" i="2"/>
  <c r="F17" i="2"/>
  <c r="F16" i="2"/>
  <c r="G16" i="2"/>
  <c r="H16" i="2"/>
  <c r="K16" i="2" s="1"/>
  <c r="I16" i="2"/>
  <c r="J16" i="2"/>
  <c r="H15" i="2"/>
  <c r="I15" i="2"/>
  <c r="J15" i="2"/>
  <c r="K15" i="2"/>
  <c r="L15" i="2" s="1"/>
  <c r="G15" i="2"/>
  <c r="F15" i="2"/>
  <c r="H14" i="2"/>
  <c r="I14" i="2"/>
  <c r="J14" i="2"/>
  <c r="K14" i="2"/>
  <c r="L14" i="2" s="1"/>
  <c r="G14" i="2"/>
  <c r="F14" i="2"/>
  <c r="M13" i="2"/>
  <c r="H13" i="2"/>
  <c r="I13" i="2"/>
  <c r="J13" i="2"/>
  <c r="K13" i="2"/>
  <c r="G13" i="2"/>
  <c r="F13" i="2"/>
  <c r="M15" i="1"/>
  <c r="K12" i="2"/>
  <c r="J12" i="2"/>
  <c r="C12" i="2"/>
  <c r="H12" i="2"/>
  <c r="H14" i="1"/>
  <c r="C29" i="2"/>
  <c r="C30" i="2"/>
  <c r="C31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F52" i="1"/>
  <c r="H52" i="1" s="1"/>
  <c r="K52" i="1" s="1"/>
  <c r="G52" i="1"/>
  <c r="J52" i="1"/>
  <c r="F51" i="1"/>
  <c r="H51" i="1" s="1"/>
  <c r="K51" i="1" s="1"/>
  <c r="G51" i="1"/>
  <c r="J51" i="1" s="1"/>
  <c r="I51" i="1"/>
  <c r="F50" i="1"/>
  <c r="H50" i="1" s="1"/>
  <c r="K50" i="1" s="1"/>
  <c r="G50" i="1"/>
  <c r="I50" i="1"/>
  <c r="J50" i="1"/>
  <c r="H49" i="1"/>
  <c r="I49" i="1"/>
  <c r="J49" i="1"/>
  <c r="K49" i="1"/>
  <c r="L49" i="1" s="1"/>
  <c r="G49" i="1"/>
  <c r="F49" i="1"/>
  <c r="F48" i="1"/>
  <c r="G48" i="1"/>
  <c r="H48" i="1"/>
  <c r="I48" i="1"/>
  <c r="J48" i="1"/>
  <c r="K48" i="1"/>
  <c r="L48" i="1" s="1"/>
  <c r="H47" i="1"/>
  <c r="I47" i="1"/>
  <c r="J47" i="1"/>
  <c r="K47" i="1"/>
  <c r="L47" i="1" s="1"/>
  <c r="G47" i="1"/>
  <c r="F47" i="1"/>
  <c r="F46" i="1"/>
  <c r="H46" i="1" s="1"/>
  <c r="K46" i="1" s="1"/>
  <c r="G46" i="1"/>
  <c r="I46" i="1"/>
  <c r="J46" i="1"/>
  <c r="H45" i="1"/>
  <c r="I45" i="1"/>
  <c r="J45" i="1"/>
  <c r="K45" i="1"/>
  <c r="L45" i="1" s="1"/>
  <c r="G45" i="1"/>
  <c r="F45" i="1"/>
  <c r="F44" i="1"/>
  <c r="G44" i="1"/>
  <c r="H44" i="1"/>
  <c r="I44" i="1"/>
  <c r="J44" i="1"/>
  <c r="K44" i="1"/>
  <c r="L44" i="1" s="1"/>
  <c r="H43" i="1"/>
  <c r="I43" i="1"/>
  <c r="J43" i="1"/>
  <c r="K43" i="1"/>
  <c r="L43" i="1" s="1"/>
  <c r="G43" i="1"/>
  <c r="F43" i="1"/>
  <c r="G42" i="1"/>
  <c r="H42" i="1" s="1"/>
  <c r="K42" i="1" s="1"/>
  <c r="F42" i="1"/>
  <c r="I42" i="1" s="1"/>
  <c r="G41" i="1"/>
  <c r="H41" i="1" s="1"/>
  <c r="K41" i="1" s="1"/>
  <c r="F41" i="1"/>
  <c r="I41" i="1" s="1"/>
  <c r="G40" i="1"/>
  <c r="H40" i="1" s="1"/>
  <c r="K40" i="1" s="1"/>
  <c r="J40" i="1"/>
  <c r="F40" i="1"/>
  <c r="I40" i="1" s="1"/>
  <c r="F39" i="1"/>
  <c r="H39" i="1" s="1"/>
  <c r="K39" i="1" s="1"/>
  <c r="G39" i="1"/>
  <c r="I39" i="1"/>
  <c r="J39" i="1"/>
  <c r="F38" i="1"/>
  <c r="G38" i="1"/>
  <c r="H38" i="1"/>
  <c r="K38" i="1" s="1"/>
  <c r="I38" i="1"/>
  <c r="J38" i="1"/>
  <c r="F37" i="1"/>
  <c r="I37" i="1" s="1"/>
  <c r="G37" i="1"/>
  <c r="H37" i="1"/>
  <c r="K37" i="1" s="1"/>
  <c r="J37" i="1"/>
  <c r="F36" i="1"/>
  <c r="G36" i="1"/>
  <c r="H36" i="1"/>
  <c r="K36" i="1" s="1"/>
  <c r="I36" i="1"/>
  <c r="J36" i="1"/>
  <c r="H35" i="1"/>
  <c r="I35" i="1"/>
  <c r="J35" i="1"/>
  <c r="K35" i="1"/>
  <c r="L35" i="1" s="1"/>
  <c r="G35" i="1"/>
  <c r="F35" i="1"/>
  <c r="M34" i="1"/>
  <c r="H34" i="1"/>
  <c r="I34" i="1"/>
  <c r="J34" i="1"/>
  <c r="K34" i="1"/>
  <c r="H33" i="1"/>
  <c r="G34" i="1"/>
  <c r="F34" i="1"/>
  <c r="L34" i="1"/>
  <c r="J33" i="1"/>
  <c r="I33" i="1"/>
  <c r="K33" i="1"/>
  <c r="M33" i="1" s="1"/>
  <c r="F28" i="1"/>
  <c r="H28" i="1" s="1"/>
  <c r="K28" i="1" s="1"/>
  <c r="G28" i="1"/>
  <c r="I28" i="1"/>
  <c r="J28" i="1"/>
  <c r="H27" i="1"/>
  <c r="I27" i="1"/>
  <c r="J27" i="1"/>
  <c r="K27" i="1"/>
  <c r="L27" i="1" s="1"/>
  <c r="G27" i="1"/>
  <c r="F27" i="1"/>
  <c r="F26" i="1"/>
  <c r="G26" i="1"/>
  <c r="H26" i="1"/>
  <c r="I26" i="1"/>
  <c r="J26" i="1"/>
  <c r="K26" i="1"/>
  <c r="M26" i="1" s="1"/>
  <c r="H25" i="1"/>
  <c r="I25" i="1"/>
  <c r="J25" i="1"/>
  <c r="K25" i="1"/>
  <c r="L25" i="1" s="1"/>
  <c r="G25" i="1"/>
  <c r="F25" i="1"/>
  <c r="H24" i="1"/>
  <c r="I24" i="1"/>
  <c r="J24" i="1"/>
  <c r="K24" i="1"/>
  <c r="L24" i="1" s="1"/>
  <c r="G24" i="1"/>
  <c r="F24" i="1"/>
  <c r="H23" i="1"/>
  <c r="I23" i="1"/>
  <c r="J23" i="1"/>
  <c r="K23" i="1"/>
  <c r="L23" i="1" s="1"/>
  <c r="M23" i="1"/>
  <c r="G23" i="1"/>
  <c r="F23" i="1"/>
  <c r="H22" i="1"/>
  <c r="I22" i="1"/>
  <c r="J22" i="1"/>
  <c r="K22" i="1"/>
  <c r="L22" i="1" s="1"/>
  <c r="G22" i="1"/>
  <c r="F22" i="1"/>
  <c r="H21" i="1"/>
  <c r="I21" i="1"/>
  <c r="J21" i="1"/>
  <c r="K21" i="1"/>
  <c r="L21" i="1"/>
  <c r="M21" i="1"/>
  <c r="G21" i="1"/>
  <c r="F21" i="1"/>
  <c r="H20" i="1"/>
  <c r="I20" i="1"/>
  <c r="J20" i="1"/>
  <c r="K20" i="1"/>
  <c r="L20" i="1" s="1"/>
  <c r="G20" i="1"/>
  <c r="F20" i="1"/>
  <c r="H19" i="1"/>
  <c r="K19" i="1" s="1"/>
  <c r="I19" i="1"/>
  <c r="J19" i="1"/>
  <c r="G19" i="1"/>
  <c r="F19" i="1"/>
  <c r="F18" i="1"/>
  <c r="G18" i="1"/>
  <c r="H18" i="1" s="1"/>
  <c r="K18" i="1" s="1"/>
  <c r="I18" i="1"/>
  <c r="H17" i="1"/>
  <c r="I17" i="1"/>
  <c r="J17" i="1"/>
  <c r="K17" i="1"/>
  <c r="L17" i="1" s="1"/>
  <c r="L16" i="1"/>
  <c r="G17" i="1"/>
  <c r="F17" i="1"/>
  <c r="H16" i="1"/>
  <c r="I16" i="1"/>
  <c r="J16" i="1"/>
  <c r="K16" i="1"/>
  <c r="M16" i="1" s="1"/>
  <c r="G16" i="1"/>
  <c r="F16" i="1"/>
  <c r="H15" i="1"/>
  <c r="I15" i="1"/>
  <c r="J15" i="1"/>
  <c r="K15" i="1"/>
  <c r="G15" i="1"/>
  <c r="F15" i="1"/>
  <c r="O78" i="1" l="1"/>
  <c r="P78" i="1" s="1"/>
  <c r="N79" i="1"/>
  <c r="I14" i="4"/>
  <c r="I13" i="4"/>
  <c r="H13" i="4"/>
  <c r="I64" i="3"/>
  <c r="K64" i="3" s="1"/>
  <c r="J64" i="3"/>
  <c r="U36" i="3"/>
  <c r="R37" i="3"/>
  <c r="X35" i="3"/>
  <c r="W35" i="3"/>
  <c r="S36" i="3"/>
  <c r="L44" i="3"/>
  <c r="M44" i="3"/>
  <c r="L43" i="3"/>
  <c r="M43" i="3"/>
  <c r="M42" i="3"/>
  <c r="L41" i="3"/>
  <c r="M41" i="3"/>
  <c r="L40" i="3"/>
  <c r="M40" i="3"/>
  <c r="L39" i="3"/>
  <c r="M39" i="3"/>
  <c r="L38" i="3"/>
  <c r="M38" i="3"/>
  <c r="L37" i="3"/>
  <c r="M37" i="3"/>
  <c r="M36" i="3"/>
  <c r="M34" i="3"/>
  <c r="M33" i="3"/>
  <c r="L26" i="3"/>
  <c r="M26" i="3"/>
  <c r="L25" i="3"/>
  <c r="M25" i="3"/>
  <c r="L24" i="3"/>
  <c r="M24" i="3"/>
  <c r="L23" i="3"/>
  <c r="M23" i="3"/>
  <c r="L22" i="3"/>
  <c r="M22" i="3"/>
  <c r="L21" i="3"/>
  <c r="M21" i="3"/>
  <c r="L20" i="3"/>
  <c r="M20" i="3"/>
  <c r="M19" i="3"/>
  <c r="L18" i="3"/>
  <c r="M18" i="3"/>
  <c r="L17" i="3"/>
  <c r="M17" i="3"/>
  <c r="M16" i="3"/>
  <c r="L15" i="3"/>
  <c r="M15" i="3"/>
  <c r="L14" i="3"/>
  <c r="M14" i="3"/>
  <c r="M24" i="2"/>
  <c r="K22" i="2"/>
  <c r="M21" i="2"/>
  <c r="L20" i="2"/>
  <c r="M20" i="2"/>
  <c r="M19" i="2"/>
  <c r="M17" i="2"/>
  <c r="L16" i="2"/>
  <c r="M16" i="2"/>
  <c r="M15" i="2"/>
  <c r="M14" i="2"/>
  <c r="L52" i="1"/>
  <c r="M52" i="1"/>
  <c r="I52" i="1"/>
  <c r="L51" i="1"/>
  <c r="M51" i="1"/>
  <c r="M50" i="1"/>
  <c r="M49" i="1"/>
  <c r="M48" i="1"/>
  <c r="M47" i="1"/>
  <c r="L46" i="1"/>
  <c r="M46" i="1"/>
  <c r="M45" i="1"/>
  <c r="M44" i="1"/>
  <c r="M43" i="1"/>
  <c r="L42" i="1"/>
  <c r="J42" i="1"/>
  <c r="M42" i="1" s="1"/>
  <c r="L41" i="1"/>
  <c r="J41" i="1"/>
  <c r="M41" i="1" s="1"/>
  <c r="L40" i="1"/>
  <c r="M40" i="1"/>
  <c r="L39" i="1"/>
  <c r="M39" i="1"/>
  <c r="L38" i="1"/>
  <c r="M38" i="1"/>
  <c r="L37" i="1"/>
  <c r="M37" i="1"/>
  <c r="L36" i="1"/>
  <c r="M36" i="1"/>
  <c r="M35" i="1"/>
  <c r="L28" i="1"/>
  <c r="M28" i="1"/>
  <c r="M27" i="1"/>
  <c r="L26" i="1"/>
  <c r="M25" i="1"/>
  <c r="M24" i="1"/>
  <c r="M22" i="1"/>
  <c r="M20" i="1"/>
  <c r="L19" i="1"/>
  <c r="M19" i="1"/>
  <c r="L18" i="1"/>
  <c r="J18" i="1"/>
  <c r="M18" i="1" s="1"/>
  <c r="M17" i="1"/>
  <c r="O79" i="1" l="1"/>
  <c r="P79" i="1" s="1"/>
  <c r="N80" i="1"/>
  <c r="O80" i="1" s="1"/>
  <c r="P80" i="1" s="1"/>
  <c r="G14" i="4"/>
  <c r="K13" i="4"/>
  <c r="R38" i="3"/>
  <c r="U37" i="3"/>
  <c r="V36" i="3"/>
  <c r="Q37" i="3"/>
  <c r="L22" i="2"/>
  <c r="M22" i="2"/>
  <c r="Q15" i="1"/>
  <c r="Q16" i="1"/>
  <c r="Q17" i="1"/>
  <c r="Q18" i="1"/>
  <c r="Q19" i="1"/>
  <c r="Q20" i="1"/>
  <c r="Q21" i="1"/>
  <c r="Q22" i="1"/>
  <c r="Q14" i="1"/>
  <c r="J14" i="1"/>
  <c r="K14" i="1"/>
  <c r="L13" i="4" l="1"/>
  <c r="M13" i="4"/>
  <c r="G15" i="4"/>
  <c r="J14" i="4"/>
  <c r="H14" i="4"/>
  <c r="W36" i="3"/>
  <c r="X36" i="3"/>
  <c r="T37" i="3"/>
  <c r="S37" i="3"/>
  <c r="U38" i="3"/>
  <c r="R39" i="3"/>
  <c r="K14" i="4" l="1"/>
  <c r="F15" i="4"/>
  <c r="J15" i="4"/>
  <c r="G16" i="4"/>
  <c r="U39" i="3"/>
  <c r="R40" i="3"/>
  <c r="U40" i="3" s="1"/>
  <c r="Q38" i="3"/>
  <c r="V37" i="3"/>
  <c r="J16" i="4" l="1"/>
  <c r="G17" i="4"/>
  <c r="J17" i="4" s="1"/>
  <c r="H15" i="4"/>
  <c r="I15" i="4"/>
  <c r="L14" i="4"/>
  <c r="M14" i="4"/>
  <c r="X37" i="3"/>
  <c r="W37" i="3"/>
  <c r="S38" i="3"/>
  <c r="T38" i="3"/>
  <c r="K15" i="4" l="1"/>
  <c r="F16" i="4"/>
  <c r="Q39" i="3"/>
  <c r="V38" i="3"/>
  <c r="H16" i="4" l="1"/>
  <c r="I16" i="4"/>
  <c r="L15" i="4"/>
  <c r="M15" i="4"/>
  <c r="X38" i="3"/>
  <c r="W38" i="3"/>
  <c r="T39" i="3"/>
  <c r="S39" i="3"/>
  <c r="K16" i="4" l="1"/>
  <c r="F17" i="4"/>
  <c r="V39" i="3"/>
  <c r="Q40" i="3"/>
  <c r="F18" i="4" l="1"/>
  <c r="H17" i="4"/>
  <c r="I17" i="4"/>
  <c r="L16" i="4"/>
  <c r="M16" i="4"/>
  <c r="T40" i="3"/>
  <c r="Q41" i="3"/>
  <c r="S40" i="3"/>
  <c r="W39" i="3"/>
  <c r="X39" i="3"/>
  <c r="K17" i="4" l="1"/>
  <c r="G18" i="4"/>
  <c r="I18" i="4"/>
  <c r="F19" i="4"/>
  <c r="R41" i="3"/>
  <c r="V40" i="3"/>
  <c r="S41" i="3"/>
  <c r="T41" i="3"/>
  <c r="I19" i="4" l="1"/>
  <c r="H18" i="4"/>
  <c r="J18" i="4"/>
  <c r="L17" i="4"/>
  <c r="M17" i="4"/>
  <c r="Q42" i="3"/>
  <c r="V41" i="3"/>
  <c r="X40" i="3"/>
  <c r="W40" i="3"/>
  <c r="U41" i="3"/>
  <c r="R42" i="3"/>
  <c r="K18" i="4" l="1"/>
  <c r="G19" i="4"/>
  <c r="R43" i="3"/>
  <c r="U42" i="3"/>
  <c r="X41" i="3"/>
  <c r="W41" i="3"/>
  <c r="T42" i="3"/>
  <c r="S42" i="3"/>
  <c r="J19" i="4" l="1"/>
  <c r="G20" i="4"/>
  <c r="H19" i="4"/>
  <c r="M18" i="4"/>
  <c r="L18" i="4"/>
  <c r="V42" i="3"/>
  <c r="Q43" i="3"/>
  <c r="R44" i="3"/>
  <c r="U43" i="3"/>
  <c r="K19" i="4" l="1"/>
  <c r="F20" i="4"/>
  <c r="J20" i="4"/>
  <c r="G21" i="4"/>
  <c r="J21" i="4" s="1"/>
  <c r="R45" i="3"/>
  <c r="U45" i="3" s="1"/>
  <c r="U44" i="3"/>
  <c r="T43" i="3"/>
  <c r="S43" i="3"/>
  <c r="W42" i="3"/>
  <c r="X42" i="3"/>
  <c r="H20" i="4" l="1"/>
  <c r="I20" i="4"/>
  <c r="M19" i="4"/>
  <c r="L19" i="4"/>
  <c r="Q44" i="3"/>
  <c r="V43" i="3"/>
  <c r="K20" i="4" l="1"/>
  <c r="F21" i="4"/>
  <c r="X43" i="3"/>
  <c r="W43" i="3"/>
  <c r="S44" i="3"/>
  <c r="T44" i="3"/>
  <c r="I21" i="4" l="1"/>
  <c r="H21" i="4"/>
  <c r="K21" i="4" s="1"/>
  <c r="L20" i="4"/>
  <c r="M20" i="4"/>
  <c r="V44" i="3"/>
  <c r="Q45" i="3"/>
  <c r="M21" i="4" l="1"/>
  <c r="L21" i="4"/>
  <c r="T45" i="3"/>
  <c r="S45" i="3"/>
  <c r="V45" i="3" s="1"/>
  <c r="W44" i="3"/>
  <c r="X44" i="3"/>
  <c r="W45" i="3" l="1"/>
  <c r="X45" i="3"/>
</calcChain>
</file>

<file path=xl/sharedStrings.xml><?xml version="1.0" encoding="utf-8"?>
<sst xmlns="http://schemas.openxmlformats.org/spreadsheetml/2006/main" count="358" uniqueCount="65">
  <si>
    <t>MÉTODO DE LA BISECCIÓN</t>
  </si>
  <si>
    <t>UNIV: JOSÉ ALEJANDRO FERNANDEZ SANCHEZ</t>
  </si>
  <si>
    <t>tol</t>
  </si>
  <si>
    <t xml:space="preserve">f(x) = </t>
  </si>
  <si>
    <t xml:space="preserve">x </t>
  </si>
  <si>
    <t>x^3 - e^0.8x = 20</t>
  </si>
  <si>
    <t>x^3 - e^0.8x - 20 = 0</t>
  </si>
  <si>
    <t>#</t>
  </si>
  <si>
    <t>a</t>
  </si>
  <si>
    <t>b</t>
  </si>
  <si>
    <t>m</t>
  </si>
  <si>
    <t>f(a)</t>
  </si>
  <si>
    <t>f(b)</t>
  </si>
  <si>
    <t>f(m)</t>
  </si>
  <si>
    <t>Si f(a)*f(m) &lt; 0</t>
  </si>
  <si>
    <t xml:space="preserve">    =&gt; a = a_anterior</t>
  </si>
  <si>
    <t xml:space="preserve">    =&gt; b = m_anterior</t>
  </si>
  <si>
    <t>Si f(b)*f(m) &lt; 0</t>
  </si>
  <si>
    <t xml:space="preserve">    =&gt; b = b_anterior</t>
  </si>
  <si>
    <t xml:space="preserve">    =&gt; a = m_anterior</t>
  </si>
  <si>
    <t>x</t>
  </si>
  <si>
    <t>y</t>
  </si>
  <si>
    <t>3 sin(0,5x)-0,5x+2=0</t>
  </si>
  <si>
    <t>x^3-x^2 e^-0,5x -3x = -1</t>
  </si>
  <si>
    <t>x^3-x^2 e^-0,5x  -3x + 1 =0</t>
  </si>
  <si>
    <t>RAIZ 1</t>
  </si>
  <si>
    <t>RAIZ 2</t>
  </si>
  <si>
    <t>RAIZ 3</t>
  </si>
  <si>
    <t>cos^2(x)-0,5x e^0,3x+5=0</t>
  </si>
  <si>
    <t>RAIZ</t>
  </si>
  <si>
    <t>MÉTODO DE NEWTON-RAPHSON</t>
  </si>
  <si>
    <t xml:space="preserve">  | f(xi)  | &lt;=  tol</t>
  </si>
  <si>
    <t>f(x)</t>
  </si>
  <si>
    <t>f'(x)</t>
  </si>
  <si>
    <t>3x^2-0,8e^0,8x</t>
  </si>
  <si>
    <t>MÉTODO DE LA SECANTE</t>
  </si>
  <si>
    <t>GRÁFICAS</t>
  </si>
  <si>
    <t>GEOGEBRA</t>
  </si>
  <si>
    <t>EXCEL</t>
  </si>
  <si>
    <t xml:space="preserve">F'(x) = </t>
  </si>
  <si>
    <t>1,5 cos(0,5x)-0,5</t>
  </si>
  <si>
    <t>3x^2+e^-0,5x(0,5x^2-2x)-3</t>
  </si>
  <si>
    <t>-sin(2x)-e^0,3x (0,5+0,15x)</t>
  </si>
  <si>
    <t>OCTAVE</t>
  </si>
  <si>
    <t>SOLUCION EXACTA OCTAVE</t>
  </si>
  <si>
    <t>R_1</t>
  </si>
  <si>
    <t>R_2</t>
  </si>
  <si>
    <t>ERRORES</t>
  </si>
  <si>
    <t>ERR_ABS</t>
  </si>
  <si>
    <t>BISECCION</t>
  </si>
  <si>
    <t>ERR_REL</t>
  </si>
  <si>
    <t>ERR_RE%</t>
  </si>
  <si>
    <t>METODO</t>
  </si>
  <si>
    <t>SECANTE</t>
  </si>
  <si>
    <t>NEWTON-R</t>
  </si>
  <si>
    <t>ITER_R1</t>
  </si>
  <si>
    <t>ITER_R2</t>
  </si>
  <si>
    <t>GRAFICAS</t>
  </si>
  <si>
    <t>VALOR EXACTO OCTAVE</t>
  </si>
  <si>
    <t>R</t>
  </si>
  <si>
    <t>ITER_R3</t>
  </si>
  <si>
    <t>R2</t>
  </si>
  <si>
    <t>R3</t>
  </si>
  <si>
    <t>R1</t>
  </si>
  <si>
    <t>GRAFICA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</si>
</sst>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DejaVu Sans Mono"/>
      <family val="3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3" borderId="1" xfId="0" applyFill="1" applyBorder="1"/>
    <xf numFmtId="0" fontId="3" fillId="0" borderId="1" xfId="0" applyFont="1" applyBorder="1"/>
    <xf numFmtId="0" fontId="1" fillId="4" borderId="2" xfId="0" applyFont="1" applyFill="1" applyBorder="1"/>
    <xf numFmtId="0" fontId="0" fillId="0" borderId="1" xfId="0" applyBorder="1"/>
    <xf numFmtId="0" fontId="4" fillId="0" borderId="0" xfId="0" applyFont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164" fontId="0" fillId="2" borderId="1" xfId="0" applyNumberFormat="1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0" borderId="0" xfId="0" applyFont="1"/>
    <xf numFmtId="0" fontId="5" fillId="6" borderId="1" xfId="0" applyFont="1" applyFill="1" applyBorder="1"/>
    <xf numFmtId="0" fontId="0" fillId="11" borderId="0" xfId="0" applyFill="1"/>
    <xf numFmtId="0" fontId="1" fillId="6" borderId="1" xfId="0" applyFont="1" applyFill="1" applyBorder="1"/>
    <xf numFmtId="0" fontId="6" fillId="12" borderId="1" xfId="0" applyFont="1" applyFill="1" applyBorder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/>
    <xf numFmtId="0" fontId="1" fillId="0" borderId="1" xfId="0" applyFont="1" applyBorder="1"/>
    <xf numFmtId="0" fontId="7" fillId="0" borderId="1" xfId="0" applyFont="1" applyBorder="1" applyAlignment="1"/>
    <xf numFmtId="0" fontId="1" fillId="0" borderId="1" xfId="0" applyFont="1" applyFill="1" applyBorder="1" applyAlignment="1"/>
    <xf numFmtId="165" fontId="0" fillId="0" borderId="0" xfId="0" applyNumberFormat="1"/>
    <xf numFmtId="0" fontId="10" fillId="0" borderId="0" xfId="0" applyFont="1" applyAlignment="1">
      <alignment horizontal="left" vertical="center"/>
    </xf>
    <xf numFmtId="0" fontId="1" fillId="13" borderId="1" xfId="0" applyFont="1" applyFill="1" applyBorder="1" applyAlignment="1"/>
    <xf numFmtId="0" fontId="1" fillId="13" borderId="1" xfId="0" applyFont="1" applyFill="1" applyBorder="1"/>
    <xf numFmtId="0" fontId="0" fillId="13" borderId="1" xfId="0" applyFill="1" applyBorder="1"/>
    <xf numFmtId="0" fontId="1" fillId="14" borderId="1" xfId="0" applyFont="1" applyFill="1" applyBorder="1" applyAlignment="1"/>
    <xf numFmtId="0" fontId="1" fillId="14" borderId="1" xfId="0" applyFont="1" applyFill="1" applyBorder="1"/>
    <xf numFmtId="0" fontId="0" fillId="14" borderId="1" xfId="0" applyFill="1" applyBorder="1"/>
    <xf numFmtId="0" fontId="1" fillId="10" borderId="1" xfId="0" applyFont="1" applyFill="1" applyBorder="1" applyAlignment="1"/>
    <xf numFmtId="0" fontId="1" fillId="10" borderId="1" xfId="0" applyFont="1" applyFill="1" applyBorder="1"/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'EJERCICIO-1'!$Q$13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'EJERCICIO-1'!$P$14:$P$22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'EJERCICIO-1'!$Q$14:$Q$22</c:f>
              <c:numCache>
                <c:formatCode>General</c:formatCode>
                <c:ptCount val="9"/>
                <c:pt idx="0">
                  <c:v>-21</c:v>
                </c:pt>
                <c:pt idx="1">
                  <c:v>-21.225540928492467</c:v>
                </c:pt>
                <c:pt idx="2">
                  <c:v>-16.953032424395115</c:v>
                </c:pt>
                <c:pt idx="3">
                  <c:v>-4.0231763806416048</c:v>
                </c:pt>
                <c:pt idx="4">
                  <c:v>19.467469802890648</c:v>
                </c:pt>
                <c:pt idx="5">
                  <c:v>50.401849966855764</c:v>
                </c:pt>
                <c:pt idx="6">
                  <c:v>74.489582481265032</c:v>
                </c:pt>
                <c:pt idx="7">
                  <c:v>52.573592573847236</c:v>
                </c:pt>
                <c:pt idx="8">
                  <c:v>-109.84503787208223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B-4135-8554-7A061794294B}"/>
            </c:ext>
          </c:extLst>
        </c:ser>
        <c:ser>
          <c:idx val="1"/>
          <c:order val="1"/>
          <c:tx>
            <c:v>Raiz1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'EJERCICIO-1'!$H$28</c:f>
              <c:numCache>
                <c:formatCode>General</c:formatCode>
                <c:ptCount val="1"/>
                <c:pt idx="0">
                  <c:v>3.208221435546875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B23B-4135-8554-7A061794294B}"/>
            </c:ext>
          </c:extLst>
        </c:ser>
        <c:ser>
          <c:idx val="2"/>
          <c:order val="2"/>
          <c:tx>
            <c:v>Raiz2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'EJERCICIO-1'!$H$52</c:f>
              <c:numCache>
                <c:formatCode>0.00000000</c:formatCode>
                <c:ptCount val="1"/>
                <c:pt idx="0">
                  <c:v>7.4898386001586914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B23B-4135-8554-7A0617942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4079"/>
        <c:axId val="14254559"/>
      </c:scatterChart>
      <c:valAx>
        <c:axId val="14254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54559"/>
        <c:crosses val="autoZero"/>
        <c:crossBetween val="midCat"/>
      </c:valAx>
      <c:valAx>
        <c:axId val="1425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4254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'EJERCICIO-2'!$C$11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'EJERCICIO-2'!$B$12:$B$47</c:f>
              <c:numCache>
                <c:formatCode>General</c:formatCode>
                <c:ptCount val="36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</c:numCache>
            </c:numRef>
          </c:xVal>
          <c:yVal>
            <c:numRef>
              <c:f>'EJERCICIO-2'!$C$12:$C$47</c:f>
              <c:numCache>
                <c:formatCode>General</c:formatCode>
                <c:ptCount val="36"/>
                <c:pt idx="0">
                  <c:v>9.8767728239894161</c:v>
                </c:pt>
                <c:pt idx="1">
                  <c:v>9.432590352995291</c:v>
                </c:pt>
                <c:pt idx="2">
                  <c:v>8.2704074859237835</c:v>
                </c:pt>
                <c:pt idx="3">
                  <c:v>6.5523496830688597</c:v>
                </c:pt>
                <c:pt idx="4">
                  <c:v>4.5766399758203988</c:v>
                </c:pt>
                <c:pt idx="5">
                  <c:v>2.7045835676881302</c:v>
                </c:pt>
                <c:pt idx="6">
                  <c:v>1.2721077195229551</c:v>
                </c:pt>
                <c:pt idx="7">
                  <c:v>0.50751504018783677</c:v>
                </c:pt>
                <c:pt idx="8">
                  <c:v>0.47558704557631071</c:v>
                </c:pt>
                <c:pt idx="9">
                  <c:v>1.061723384187391</c:v>
                </c:pt>
                <c:pt idx="10">
                  <c:v>2</c:v>
                </c:pt>
                <c:pt idx="11">
                  <c:v>2.938276615812609</c:v>
                </c:pt>
                <c:pt idx="12">
                  <c:v>3.5244129544236893</c:v>
                </c:pt>
                <c:pt idx="13">
                  <c:v>3.4924849598121632</c:v>
                </c:pt>
                <c:pt idx="14">
                  <c:v>2.7278922804770449</c:v>
                </c:pt>
                <c:pt idx="15">
                  <c:v>1.2954164323118698</c:v>
                </c:pt>
                <c:pt idx="16">
                  <c:v>-0.57663997582039839</c:v>
                </c:pt>
                <c:pt idx="17">
                  <c:v>-2.5523496830688597</c:v>
                </c:pt>
                <c:pt idx="18">
                  <c:v>-4.2704074859237844</c:v>
                </c:pt>
                <c:pt idx="19">
                  <c:v>-5.432590352995291</c:v>
                </c:pt>
                <c:pt idx="20">
                  <c:v>-5.8767728239894153</c:v>
                </c:pt>
                <c:pt idx="21">
                  <c:v>-5.6166209767111752</c:v>
                </c:pt>
                <c:pt idx="22">
                  <c:v>-4.8382464945967776</c:v>
                </c:pt>
                <c:pt idx="23">
                  <c:v>-3.8546400357365531</c:v>
                </c:pt>
                <c:pt idx="24">
                  <c:v>-3.0290402038436328</c:v>
                </c:pt>
                <c:pt idx="25">
                  <c:v>-2.6860000696757833</c:v>
                </c:pt>
                <c:pt idx="26">
                  <c:v>-3.0319252601298547</c:v>
                </c:pt>
                <c:pt idx="27">
                  <c:v>-4.1045386621295297</c:v>
                </c:pt>
                <c:pt idx="28">
                  <c:v>-5.7636445442747304</c:v>
                </c:pt>
                <c:pt idx="29">
                  <c:v>-7.7254533613854282</c:v>
                </c:pt>
                <c:pt idx="30">
                  <c:v>-9.6320633326681087</c:v>
                </c:pt>
                <c:pt idx="31">
                  <c:v>-11.13908727991501</c:v>
                </c:pt>
                <c:pt idx="32">
                  <c:v>-11.99997061965211</c:v>
                </c:pt>
                <c:pt idx="33">
                  <c:v>-12.126356524065287</c:v>
                </c:pt>
                <c:pt idx="34">
                  <c:v>-11.609718754001305</c:v>
                </c:pt>
                <c:pt idx="35">
                  <c:v>-10.698965692053601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9-408B-B84E-578CCF824AF1}"/>
            </c:ext>
          </c:extLst>
        </c:ser>
        <c:ser>
          <c:idx val="1"/>
          <c:order val="1"/>
          <c:tx>
            <c:v>raiz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'EJERCICIO-2'!$H$24</c:f>
              <c:numCache>
                <c:formatCode>General</c:formatCode>
                <c:ptCount val="1"/>
                <c:pt idx="0">
                  <c:v>5.7064208984375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EB99-408B-B84E-578CCF824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05104"/>
        <c:axId val="467800304"/>
      </c:scatterChart>
      <c:valAx>
        <c:axId val="46780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67800304"/>
        <c:crosses val="autoZero"/>
        <c:crossBetween val="midCat"/>
      </c:valAx>
      <c:valAx>
        <c:axId val="46780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6780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'EJERCICIO-3'!$C$16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'EJERCICIO-3'!$B$17:$B$27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'EJERCICIO-3'!$C$17:$C$27</c:f>
              <c:numCache>
                <c:formatCode>General</c:formatCode>
                <c:ptCount val="11"/>
                <c:pt idx="0">
                  <c:v>-413.56234901758683</c:v>
                </c:pt>
                <c:pt idx="1">
                  <c:v>-169.22489758289041</c:v>
                </c:pt>
                <c:pt idx="2">
                  <c:v>-57.335201633042573</c:v>
                </c:pt>
                <c:pt idx="3">
                  <c:v>-11.873127313836179</c:v>
                </c:pt>
                <c:pt idx="4">
                  <c:v>1.3512787292998718</c:v>
                </c:pt>
                <c:pt idx="5">
                  <c:v>1</c:v>
                </c:pt>
                <c:pt idx="6">
                  <c:v>-1.6065306597126332</c:v>
                </c:pt>
                <c:pt idx="7">
                  <c:v>1.5284822353142307</c:v>
                </c:pt>
                <c:pt idx="8">
                  <c:v>16.991828558664132</c:v>
                </c:pt>
                <c:pt idx="9">
                  <c:v>50.834635468214195</c:v>
                </c:pt>
                <c:pt idx="10">
                  <c:v>108.94787503440253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DB-4831-95B4-DFDBF01A6BB8}"/>
            </c:ext>
          </c:extLst>
        </c:ser>
        <c:ser>
          <c:idx val="1"/>
          <c:order val="1"/>
          <c:tx>
            <c:v>raiz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'EJERCICIO-3'!$H$26</c:f>
              <c:numCache>
                <c:formatCode>General</c:formatCode>
                <c:ptCount val="1"/>
                <c:pt idx="0">
                  <c:v>-1.234100341796875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5-23DB-4831-95B4-DFDBF01A6BB8}"/>
            </c:ext>
          </c:extLst>
        </c:ser>
        <c:ser>
          <c:idx val="2"/>
          <c:order val="2"/>
          <c:tx>
            <c:v>raiz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'EJERCICIO-3'!$H$44</c:f>
              <c:numCache>
                <c:formatCode>General</c:formatCode>
                <c:ptCount val="1"/>
                <c:pt idx="0">
                  <c:v>0.31549072265625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23DB-4831-95B4-DFDBF01A6BB8}"/>
            </c:ext>
          </c:extLst>
        </c:ser>
        <c:ser>
          <c:idx val="3"/>
          <c:order val="3"/>
          <c:tx>
            <c:v>raiz3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'EJERCICIO-3'!$S$45</c:f>
              <c:numCache>
                <c:formatCode>General</c:formatCode>
                <c:ptCount val="1"/>
                <c:pt idx="0">
                  <c:v>1.780242919921875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7-23DB-4831-95B4-DFDBF01A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33904"/>
        <c:axId val="467834864"/>
      </c:scatterChart>
      <c:valAx>
        <c:axId val="46783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67834864"/>
        <c:crosses val="autoZero"/>
        <c:crossBetween val="midCat"/>
      </c:valAx>
      <c:valAx>
        <c:axId val="46783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46783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'EJERCICIO-4'!$C$11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'EJERCICIO-4'!$B$12:$B$19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'EJERCICIO-4'!$C$12:$C$19</c:f>
              <c:numCache>
                <c:formatCode>General</c:formatCode>
                <c:ptCount val="8"/>
                <c:pt idx="0">
                  <c:v>6</c:v>
                </c:pt>
                <c:pt idx="1">
                  <c:v>4.6169971779384271</c:v>
                </c:pt>
                <c:pt idx="2">
                  <c:v>3.351059389177685</c:v>
                </c:pt>
                <c:pt idx="3">
                  <c:v>2.2906804765897588</c:v>
                </c:pt>
                <c:pt idx="4">
                  <c:v>-1.212983862377401</c:v>
                </c:pt>
                <c:pt idx="5">
                  <c:v>-6.1237584403833871</c:v>
                </c:pt>
                <c:pt idx="6">
                  <c:v>-12.227015413872586</c:v>
                </c:pt>
                <c:pt idx="7">
                  <c:v>-23.013226084882863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7-4A51-A447-3649BF08F8ED}"/>
            </c:ext>
          </c:extLst>
        </c:ser>
        <c:ser>
          <c:idx val="1"/>
          <c:order val="1"/>
          <c:tx>
            <c:v>RAIZ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'EJERCICIO-4'!$H$21</c:f>
              <c:numCache>
                <c:formatCode>General</c:formatCode>
                <c:ptCount val="1"/>
                <c:pt idx="0">
                  <c:v>3.7255859375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6E47-4A51-A447-3649BF08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201936"/>
        <c:axId val="735202416"/>
      </c:scatterChart>
      <c:valAx>
        <c:axId val="73520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5202416"/>
        <c:crosses val="autoZero"/>
        <c:crossBetween val="midCat"/>
      </c:valAx>
      <c:valAx>
        <c:axId val="73520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73520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200025</xdr:colOff>
      <xdr:row>1</xdr:row>
      <xdr:rowOff>133350</xdr:rowOff>
    </xdr:from>
    <xdr:to>
      <xdr:col>16</xdr:col>
      <xdr:colOff>446596</xdr:colOff>
      <xdr:row>4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6DFA2F-D99D-84D0-7E2A-4748D3E579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7949"/>
        <a:stretch>
          <a:fillRect/>
        </a:stretch>
      </xdr:blipFill>
      <xdr:spPr>
        <a:xfrm>
          <a:off x="4010025" y="323850"/>
          <a:ext cx="8628571" cy="790575"/>
        </a:xfrm>
        <a:prstGeom prst="rect">
          <a:avLst/>
        </a:prstGeom>
      </xdr:spPr>
    </xdr:pic>
    <xdr:clientData/>
  </xdr:twoCellAnchor>
  <xdr:twoCellAnchor>
    <xdr:from>
      <xdr:col>14</xdr:col>
      <xdr:colOff>361950</xdr:colOff>
      <xdr:row>24</xdr:row>
      <xdr:rowOff>33337</xdr:rowOff>
    </xdr:from>
    <xdr:to>
      <xdr:col>21</xdr:col>
      <xdr:colOff>685800</xdr:colOff>
      <xdr:row>39</xdr:row>
      <xdr:rowOff>47625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3910B4-1EB0-905D-471A-6888C1EA1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295275</xdr:colOff>
      <xdr:row>42</xdr:row>
      <xdr:rowOff>7190</xdr:rowOff>
    </xdr:from>
    <xdr:to>
      <xdr:col>21</xdr:col>
      <xdr:colOff>581025</xdr:colOff>
      <xdr:row>55</xdr:row>
      <xdr:rowOff>314326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6D33C98-3626-7B61-F44F-427DB086C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06" r="19579"/>
        <a:stretch>
          <a:fillRect/>
        </a:stretch>
      </xdr:blipFill>
      <xdr:spPr>
        <a:xfrm>
          <a:off x="10963275" y="8398715"/>
          <a:ext cx="5657850" cy="2783636"/>
        </a:xfrm>
        <a:prstGeom prst="rect">
          <a:avLst/>
        </a:prstGeom>
      </xdr:spPr>
    </xdr:pic>
    <xdr:clientData/>
  </xdr:twoCellAnchor>
  <xdr:twoCellAnchor editAs="oneCell">
    <xdr:from>
      <xdr:col>22</xdr:col>
      <xdr:colOff>693964</xdr:colOff>
      <xdr:row>24</xdr:row>
      <xdr:rowOff>122465</xdr:rowOff>
    </xdr:from>
    <xdr:to>
      <xdr:col>29</xdr:col>
      <xdr:colOff>380354</xdr:colOff>
      <xdr:row>44</xdr:row>
      <xdr:rowOff>118929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C63AE7-14DB-4A87-BE90-B1C5FBA66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57964" y="5184322"/>
          <a:ext cx="5125165" cy="3915321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63</xdr:row>
      <xdr:rowOff>0</xdr:rowOff>
    </xdr:from>
    <xdr:to>
      <xdr:col>23</xdr:col>
      <xdr:colOff>19489</xdr:colOff>
      <xdr:row>67</xdr:row>
      <xdr:rowOff>104896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32AE52-9871-411D-99DA-755C1A4A2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478000" y="12777107"/>
          <a:ext cx="3143689" cy="8668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1</xdr:row>
      <xdr:rowOff>57150</xdr:rowOff>
    </xdr:from>
    <xdr:to>
      <xdr:col>16</xdr:col>
      <xdr:colOff>85512</xdr:colOff>
      <xdr:row>3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E10C26-9D2D-44B7-81A3-2C6571D487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1" t="32437" r="-221" b="40146"/>
        <a:stretch>
          <a:fillRect/>
        </a:stretch>
      </xdr:blipFill>
      <xdr:spPr>
        <a:xfrm>
          <a:off x="3943350" y="247650"/>
          <a:ext cx="8628571" cy="676275"/>
        </a:xfrm>
        <a:prstGeom prst="rect">
          <a:avLst/>
        </a:prstGeom>
      </xdr:spPr>
    </xdr:pic>
    <xdr:clientData/>
  </xdr:twoCellAnchor>
  <xdr:twoCellAnchor>
    <xdr:from>
      <xdr:col>14</xdr:col>
      <xdr:colOff>161925</xdr:colOff>
      <xdr:row>9</xdr:row>
      <xdr:rowOff>109537</xdr:rowOff>
    </xdr:from>
    <xdr:to>
      <xdr:col>20</xdr:col>
      <xdr:colOff>161925</xdr:colOff>
      <xdr:row>23</xdr:row>
      <xdr:rowOff>185737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141770-0CF9-7739-54FD-85A34D2E1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29</xdr:row>
      <xdr:rowOff>0</xdr:rowOff>
    </xdr:from>
    <xdr:to>
      <xdr:col>21</xdr:col>
      <xdr:colOff>210005</xdr:colOff>
      <xdr:row>31</xdr:row>
      <xdr:rowOff>28632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8272A59-516D-4327-9C27-049866EDA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0" y="5697682"/>
          <a:ext cx="3258005" cy="409632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21</xdr:col>
      <xdr:colOff>219531</xdr:colOff>
      <xdr:row>31</xdr:row>
      <xdr:rowOff>53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F54251E-E9D7-45C8-98BD-B10F86120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954000" y="5697682"/>
          <a:ext cx="3267531" cy="381053"/>
        </a:xfrm>
        <a:prstGeom prst="rect">
          <a:avLst/>
        </a:prstGeom>
      </xdr:spPr>
    </xdr:pic>
    <xdr:clientData/>
  </xdr:twoCellAnchor>
  <xdr:twoCellAnchor editAs="oneCell">
    <xdr:from>
      <xdr:col>22</xdr:col>
      <xdr:colOff>70933</xdr:colOff>
      <xdr:row>8</xdr:row>
      <xdr:rowOff>173181</xdr:rowOff>
    </xdr:from>
    <xdr:to>
      <xdr:col>28</xdr:col>
      <xdr:colOff>450991</xdr:colOff>
      <xdr:row>29</xdr:row>
      <xdr:rowOff>189350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9FEB8FF-A6F2-4F9B-A599-50F6FE5C3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23751" y="1870363"/>
          <a:ext cx="4952058" cy="40166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333375</xdr:colOff>
      <xdr:row>1</xdr:row>
      <xdr:rowOff>114300</xdr:rowOff>
    </xdr:from>
    <xdr:to>
      <xdr:col>16</xdr:col>
      <xdr:colOff>579946</xdr:colOff>
      <xdr:row>3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144D02B-4AE6-476F-A2AC-350093C6B2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1" t="61276" r="-111" b="20495"/>
        <a:stretch>
          <a:fillRect/>
        </a:stretch>
      </xdr:blipFill>
      <xdr:spPr>
        <a:xfrm>
          <a:off x="4143375" y="304800"/>
          <a:ext cx="8628571" cy="447675"/>
        </a:xfrm>
        <a:prstGeom prst="rect">
          <a:avLst/>
        </a:prstGeom>
      </xdr:spPr>
    </xdr:pic>
    <xdr:clientData/>
  </xdr:twoCellAnchor>
  <xdr:twoCellAnchor>
    <xdr:from>
      <xdr:col>15</xdr:col>
      <xdr:colOff>493060</xdr:colOff>
      <xdr:row>5</xdr:row>
      <xdr:rowOff>56028</xdr:rowOff>
    </xdr:from>
    <xdr:to>
      <xdr:col>21</xdr:col>
      <xdr:colOff>728382</xdr:colOff>
      <xdr:row>24</xdr:row>
      <xdr:rowOff>168088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832100-B8D1-4181-3F9B-E14E61F253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285750</xdr:colOff>
      <xdr:row>20</xdr:row>
      <xdr:rowOff>122464</xdr:rowOff>
    </xdr:from>
    <xdr:to>
      <xdr:col>38</xdr:col>
      <xdr:colOff>185746</xdr:colOff>
      <xdr:row>32</xdr:row>
      <xdr:rowOff>56099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17A267-72E2-411A-AAFA-1C9A7C738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669750" y="4163785"/>
          <a:ext cx="4934639" cy="2219635"/>
        </a:xfrm>
        <a:prstGeom prst="rect">
          <a:avLst/>
        </a:prstGeom>
      </xdr:spPr>
    </xdr:pic>
    <xdr:clientData/>
  </xdr:twoCellAnchor>
  <xdr:twoCellAnchor editAs="oneCell">
    <xdr:from>
      <xdr:col>23</xdr:col>
      <xdr:colOff>71438</xdr:colOff>
      <xdr:row>5</xdr:row>
      <xdr:rowOff>119062</xdr:rowOff>
    </xdr:from>
    <xdr:to>
      <xdr:col>29</xdr:col>
      <xdr:colOff>472215</xdr:colOff>
      <xdr:row>27</xdr:row>
      <xdr:rowOff>176805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BF71E9-5EB5-4080-970A-57E927908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97438" y="1285875"/>
          <a:ext cx="5210902" cy="42487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1</xdr:row>
      <xdr:rowOff>171450</xdr:rowOff>
    </xdr:from>
    <xdr:to>
      <xdr:col>16</xdr:col>
      <xdr:colOff>551371</xdr:colOff>
      <xdr:row>3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0B6C92-7DF8-432B-970F-B9DFF31E1A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1" t="83941" r="-111" b="-3090"/>
        <a:stretch>
          <a:fillRect/>
        </a:stretch>
      </xdr:blipFill>
      <xdr:spPr>
        <a:xfrm>
          <a:off x="4114800" y="361950"/>
          <a:ext cx="8628571" cy="466725"/>
        </a:xfrm>
        <a:prstGeom prst="rect">
          <a:avLst/>
        </a:prstGeom>
      </xdr:spPr>
    </xdr:pic>
    <xdr:clientData/>
  </xdr:twoCellAnchor>
  <xdr:twoCellAnchor>
    <xdr:from>
      <xdr:col>3</xdr:col>
      <xdr:colOff>637310</xdr:colOff>
      <xdr:row>28</xdr:row>
      <xdr:rowOff>164955</xdr:rowOff>
    </xdr:from>
    <xdr:to>
      <xdr:col>9</xdr:col>
      <xdr:colOff>637310</xdr:colOff>
      <xdr:row>42</xdr:row>
      <xdr:rowOff>137246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942C813-4D1E-EDFC-8E41-7D551D27A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34636</xdr:colOff>
      <xdr:row>34</xdr:row>
      <xdr:rowOff>0</xdr:rowOff>
    </xdr:from>
    <xdr:to>
      <xdr:col>25</xdr:col>
      <xdr:colOff>444694</xdr:colOff>
      <xdr:row>36</xdr:row>
      <xdr:rowOff>28632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8171E6-5E6D-43C5-A8E4-0E708F03F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71272" y="6650182"/>
          <a:ext cx="3458058" cy="4096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95250</xdr:rowOff>
    </xdr:from>
    <xdr:to>
      <xdr:col>16</xdr:col>
      <xdr:colOff>657955</xdr:colOff>
      <xdr:row>51</xdr:row>
      <xdr:rowOff>158452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EF3E294-E745-4E96-9BB8-6475CA51B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47214" y="5796643"/>
          <a:ext cx="5229955" cy="4363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70008-DD24-4C02-A808-A4E3957F0358}">
  <dimension ref="A1:AC81"/>
  <sheetViews>
    <sheetView zoomScaleNormal="100" workbookViewId="0">
      <selection activeCell="T71" sqref="T71:AC78"/>
    </sheetView>
  </sheetViews>
  <sheetFormatPr baseColWidth="10" defaultRowHeight="15"/>
  <cols>
    <col min="21" max="22" width="12" bestFit="1" customWidth="1"/>
    <col min="25" max="26" width="12" bestFit="1" customWidth="1"/>
    <col min="29" max="29" width="11.85546875" bestFit="1" customWidth="1"/>
  </cols>
  <sheetData>
    <row r="1" spans="1:17">
      <c r="A1" t="s">
        <v>1</v>
      </c>
    </row>
    <row r="3" spans="1:17" ht="28.5">
      <c r="A3" s="1"/>
    </row>
    <row r="6" spans="1:17" ht="28.5">
      <c r="A6" s="1" t="s">
        <v>0</v>
      </c>
    </row>
    <row r="8" spans="1:17">
      <c r="A8" s="2" t="s">
        <v>4</v>
      </c>
      <c r="B8" t="s">
        <v>5</v>
      </c>
      <c r="D8" s="3" t="s">
        <v>2</v>
      </c>
      <c r="E8" s="4">
        <v>1E-4</v>
      </c>
    </row>
    <row r="9" spans="1:17" ht="18.75">
      <c r="P9" s="7" t="s">
        <v>36</v>
      </c>
    </row>
    <row r="10" spans="1:17">
      <c r="A10" s="2" t="s">
        <v>3</v>
      </c>
      <c r="B10" t="s">
        <v>6</v>
      </c>
    </row>
    <row r="13" spans="1:17">
      <c r="B13" t="s">
        <v>14</v>
      </c>
      <c r="E13" s="5" t="s">
        <v>7</v>
      </c>
      <c r="F13" s="5" t="s">
        <v>8</v>
      </c>
      <c r="G13" s="5" t="s">
        <v>9</v>
      </c>
      <c r="H13" s="5" t="s">
        <v>10</v>
      </c>
      <c r="I13" s="5" t="s">
        <v>11</v>
      </c>
      <c r="J13" s="5" t="s">
        <v>12</v>
      </c>
      <c r="K13" s="5" t="s">
        <v>13</v>
      </c>
      <c r="L13" s="5" t="s">
        <v>2</v>
      </c>
      <c r="P13" s="8" t="s">
        <v>20</v>
      </c>
      <c r="Q13" s="8" t="s">
        <v>21</v>
      </c>
    </row>
    <row r="14" spans="1:17">
      <c r="B14" t="s">
        <v>15</v>
      </c>
      <c r="E14" s="6">
        <v>0</v>
      </c>
      <c r="F14" s="6">
        <v>3</v>
      </c>
      <c r="G14" s="6">
        <v>4</v>
      </c>
      <c r="H14" s="6">
        <f>(F14+G14)/2</f>
        <v>3.5</v>
      </c>
      <c r="I14" s="6">
        <f>F14^3 - EXP(0.8*F14) - 20</f>
        <v>-4.0231763806416048</v>
      </c>
      <c r="J14" s="6">
        <f t="shared" ref="I14:K15" si="0">G14^3 - EXP(0.8*G14) - 20</f>
        <v>19.467469802890648</v>
      </c>
      <c r="K14" s="6">
        <f t="shared" si="0"/>
        <v>6.4303532289029448</v>
      </c>
      <c r="L14" s="6">
        <v>1E-4</v>
      </c>
      <c r="M14" s="6"/>
      <c r="P14" s="6">
        <v>0</v>
      </c>
      <c r="Q14" s="6">
        <f>P14^3 - EXP(0.8*P14) - 20</f>
        <v>-21</v>
      </c>
    </row>
    <row r="15" spans="1:17">
      <c r="B15" t="s">
        <v>16</v>
      </c>
      <c r="E15" s="6">
        <v>1</v>
      </c>
      <c r="F15" s="6">
        <f>+F14</f>
        <v>3</v>
      </c>
      <c r="G15" s="6">
        <f>+H14</f>
        <v>3.5</v>
      </c>
      <c r="H15" s="6">
        <f>(F15+G15)/2</f>
        <v>3.25</v>
      </c>
      <c r="I15" s="6">
        <f t="shared" si="0"/>
        <v>-4.0231763806416048</v>
      </c>
      <c r="J15" s="6">
        <f t="shared" si="0"/>
        <v>6.4303532289029448</v>
      </c>
      <c r="K15" s="6">
        <f t="shared" si="0"/>
        <v>0.86438696499831025</v>
      </c>
      <c r="L15" s="6"/>
      <c r="M15" s="6" t="str">
        <f>IF(K15*J15&lt;0, "a = "&amp;H15, IF(K15*I15&lt;0, "b = "&amp;H15, "ERROR"))</f>
        <v>b = 3,25</v>
      </c>
      <c r="P15" s="6">
        <v>1</v>
      </c>
      <c r="Q15" s="6">
        <f t="shared" ref="Q15:Q22" si="1">P15^3 - EXP(0.8*P15) - 20</f>
        <v>-21.225540928492467</v>
      </c>
    </row>
    <row r="16" spans="1:17">
      <c r="E16" s="6">
        <v>2</v>
      </c>
      <c r="F16" s="6">
        <f>+F15</f>
        <v>3</v>
      </c>
      <c r="G16" s="6">
        <f>+H15</f>
        <v>3.25</v>
      </c>
      <c r="H16" s="6">
        <f t="shared" ref="H16" si="2">(F16+G16)/2</f>
        <v>3.125</v>
      </c>
      <c r="I16" s="6">
        <f t="shared" ref="I16" si="3">F16^3 - EXP(0.8*F16) - 20</f>
        <v>-4.0231763806416048</v>
      </c>
      <c r="J16" s="6">
        <f t="shared" ref="J16" si="4">G16^3 - EXP(0.8*G16) - 20</f>
        <v>0.86438696499831025</v>
      </c>
      <c r="K16" s="6">
        <f t="shared" ref="K16" si="5">H16^3 - EXP(0.8*H16) - 20</f>
        <v>-1.664915835703475</v>
      </c>
      <c r="L16" s="6" t="str">
        <f t="shared" ref="L16:L22" si="6">IF(ABS(K16)&lt;=0.0001, "SI","NO")</f>
        <v>NO</v>
      </c>
      <c r="M16" s="6" t="str">
        <f t="shared" ref="M16" si="7">IF(K16*J16&lt;0, "a = "&amp;H16, IF(K16*I16&lt;0, "b = "&amp;H16, "ERROR"))</f>
        <v>a = 3,125</v>
      </c>
      <c r="P16" s="6">
        <v>2</v>
      </c>
      <c r="Q16" s="6">
        <f t="shared" si="1"/>
        <v>-16.953032424395115</v>
      </c>
    </row>
    <row r="17" spans="2:24">
      <c r="B17" t="s">
        <v>17</v>
      </c>
      <c r="E17" s="6">
        <v>3</v>
      </c>
      <c r="F17" s="6">
        <f>+H16</f>
        <v>3.125</v>
      </c>
      <c r="G17" s="6">
        <f>+G16</f>
        <v>3.25</v>
      </c>
      <c r="H17" s="6">
        <f t="shared" ref="H17" si="8">(F17+G17)/2</f>
        <v>3.1875</v>
      </c>
      <c r="I17" s="6">
        <f t="shared" ref="I17" si="9">F17^3 - EXP(0.8*F17) - 20</f>
        <v>-1.664915835703475</v>
      </c>
      <c r="J17" s="6">
        <f t="shared" ref="J17" si="10">G17^3 - EXP(0.8*G17) - 20</f>
        <v>0.86438696499831025</v>
      </c>
      <c r="K17" s="6">
        <f t="shared" ref="K17" si="11">H17^3 - EXP(0.8*H17) - 20</f>
        <v>-0.42160573578803451</v>
      </c>
      <c r="L17" s="6" t="str">
        <f t="shared" si="6"/>
        <v>NO</v>
      </c>
      <c r="M17" s="6" t="str">
        <f t="shared" ref="M17" si="12">IF(K17*J17&lt;0, "a = "&amp;H17, IF(K17*I17&lt;0, "b = "&amp;H17, "ERROR"))</f>
        <v>a = 3,1875</v>
      </c>
      <c r="P17" s="9">
        <v>3</v>
      </c>
      <c r="Q17" s="9">
        <f t="shared" si="1"/>
        <v>-4.0231763806416048</v>
      </c>
    </row>
    <row r="18" spans="2:24">
      <c r="B18" t="s">
        <v>18</v>
      </c>
      <c r="E18" s="6">
        <v>4</v>
      </c>
      <c r="F18" s="6">
        <f>+H17</f>
        <v>3.1875</v>
      </c>
      <c r="G18" s="6">
        <f>+G17</f>
        <v>3.25</v>
      </c>
      <c r="H18" s="6">
        <f t="shared" ref="H18" si="13">(F18+G18)/2</f>
        <v>3.21875</v>
      </c>
      <c r="I18" s="6">
        <f t="shared" ref="I18" si="14">F18^3 - EXP(0.8*F18) - 20</f>
        <v>-0.42160573578803451</v>
      </c>
      <c r="J18" s="6">
        <f t="shared" ref="J18" si="15">G18^3 - EXP(0.8*G18) - 20</f>
        <v>0.86438696499831025</v>
      </c>
      <c r="K18" s="6">
        <f t="shared" ref="K18" si="16">H18^3 - EXP(0.8*H18) - 20</f>
        <v>0.21606443330685821</v>
      </c>
      <c r="L18" s="6" t="str">
        <f t="shared" si="6"/>
        <v>NO</v>
      </c>
      <c r="M18" s="6" t="str">
        <f t="shared" ref="M18" si="17">IF(K18*J18&lt;0, "a = "&amp;H18, IF(K18*I18&lt;0, "b = "&amp;H18, "ERROR"))</f>
        <v>b = 3,21875</v>
      </c>
      <c r="P18" s="9">
        <v>4</v>
      </c>
      <c r="Q18" s="9">
        <f t="shared" si="1"/>
        <v>19.467469802890648</v>
      </c>
    </row>
    <row r="19" spans="2:24">
      <c r="B19" t="s">
        <v>19</v>
      </c>
      <c r="E19" s="6">
        <v>5</v>
      </c>
      <c r="F19" s="6">
        <f>+F18</f>
        <v>3.1875</v>
      </c>
      <c r="G19" s="6">
        <f>+H18</f>
        <v>3.21875</v>
      </c>
      <c r="H19" s="6">
        <f t="shared" ref="H19" si="18">(F19+G19)/2</f>
        <v>3.203125</v>
      </c>
      <c r="I19" s="6">
        <f t="shared" ref="I19" si="19">F19^3 - EXP(0.8*F19) - 20</f>
        <v>-0.42160573578803451</v>
      </c>
      <c r="J19" s="6">
        <f t="shared" ref="J19" si="20">G19^3 - EXP(0.8*G19) - 20</f>
        <v>0.21606443330685821</v>
      </c>
      <c r="K19" s="6">
        <f t="shared" ref="K19" si="21">H19^3 - EXP(0.8*H19) - 20</f>
        <v>-0.10410353645155368</v>
      </c>
      <c r="L19" s="6" t="str">
        <f t="shared" si="6"/>
        <v>NO</v>
      </c>
      <c r="M19" s="6" t="str">
        <f t="shared" ref="M19" si="22">IF(K19*J19&lt;0, "a = "&amp;H19, IF(K19*I19&lt;0, "b = "&amp;H19, "ERROR"))</f>
        <v>a = 3,203125</v>
      </c>
      <c r="P19" s="6">
        <v>5</v>
      </c>
      <c r="Q19" s="6">
        <f t="shared" si="1"/>
        <v>50.401849966855764</v>
      </c>
    </row>
    <row r="20" spans="2:24">
      <c r="E20" s="6">
        <v>6</v>
      </c>
      <c r="F20" s="6">
        <f>+H19</f>
        <v>3.203125</v>
      </c>
      <c r="G20" s="6">
        <f>+G19</f>
        <v>3.21875</v>
      </c>
      <c r="H20" s="6">
        <f t="shared" ref="H20" si="23">(F20+G20)/2</f>
        <v>3.2109375</v>
      </c>
      <c r="I20" s="6">
        <f t="shared" ref="I20" si="24">F20^3 - EXP(0.8*F20) - 20</f>
        <v>-0.10410353645155368</v>
      </c>
      <c r="J20" s="6">
        <f t="shared" ref="J20" si="25">G20^3 - EXP(0.8*G20) - 20</f>
        <v>0.21606443330685821</v>
      </c>
      <c r="K20" s="6">
        <f t="shared" ref="K20" si="26">H20^3 - EXP(0.8*H20) - 20</f>
        <v>5.5647382134296208E-2</v>
      </c>
      <c r="L20" s="6" t="str">
        <f t="shared" si="6"/>
        <v>NO</v>
      </c>
      <c r="M20" s="6" t="str">
        <f t="shared" ref="M20" si="27">IF(K20*J20&lt;0, "a = "&amp;H20, IF(K20*I20&lt;0, "b = "&amp;H20, "ERROR"))</f>
        <v>b = 3,2109375</v>
      </c>
      <c r="P20" s="6">
        <v>6</v>
      </c>
      <c r="Q20" s="6">
        <f t="shared" si="1"/>
        <v>74.489582481265032</v>
      </c>
    </row>
    <row r="21" spans="2:24">
      <c r="E21" s="6">
        <v>7</v>
      </c>
      <c r="F21" s="6">
        <f>+F20</f>
        <v>3.203125</v>
      </c>
      <c r="G21" s="6">
        <f>+H20</f>
        <v>3.2109375</v>
      </c>
      <c r="H21" s="6">
        <f t="shared" ref="H21" si="28">(F21+G21)/2</f>
        <v>3.20703125</v>
      </c>
      <c r="I21" s="6">
        <f t="shared" ref="I21" si="29">F21^3 - EXP(0.8*F21) - 20</f>
        <v>-0.10410353645155368</v>
      </c>
      <c r="J21" s="6">
        <f t="shared" ref="J21" si="30">G21^3 - EXP(0.8*G21) - 20</f>
        <v>5.5647382134296208E-2</v>
      </c>
      <c r="K21" s="6">
        <f t="shared" ref="K21" si="31">H21^3 - EXP(0.8*H21) - 20</f>
        <v>-2.4311363882567605E-2</v>
      </c>
      <c r="L21" s="6" t="str">
        <f t="shared" si="6"/>
        <v>NO</v>
      </c>
      <c r="M21" s="6" t="str">
        <f t="shared" ref="M21" si="32">IF(K21*J21&lt;0, "a = "&amp;H21, IF(K21*I21&lt;0, "b = "&amp;H21, "ERROR"))</f>
        <v>a = 3,20703125</v>
      </c>
      <c r="P21" s="9">
        <v>7</v>
      </c>
      <c r="Q21" s="9">
        <f t="shared" si="1"/>
        <v>52.573592573847236</v>
      </c>
    </row>
    <row r="22" spans="2:24">
      <c r="E22" s="6">
        <v>8</v>
      </c>
      <c r="F22" s="6">
        <f>+H21</f>
        <v>3.20703125</v>
      </c>
      <c r="G22" s="6">
        <f>+G21</f>
        <v>3.2109375</v>
      </c>
      <c r="H22" s="6">
        <f t="shared" ref="H22" si="33">(F22+G22)/2</f>
        <v>3.208984375</v>
      </c>
      <c r="I22" s="6">
        <f t="shared" ref="I22" si="34">F22^3 - EXP(0.8*F22) - 20</f>
        <v>-2.4311363882567605E-2</v>
      </c>
      <c r="J22" s="6">
        <f t="shared" ref="J22" si="35">G22^3 - EXP(0.8*G22) - 20</f>
        <v>5.5647382134296208E-2</v>
      </c>
      <c r="K22" s="6">
        <f t="shared" ref="K22" si="36">H22^3 - EXP(0.8*H22) - 20</f>
        <v>1.5647189915139137E-2</v>
      </c>
      <c r="L22" s="6" t="str">
        <f t="shared" si="6"/>
        <v>NO</v>
      </c>
      <c r="M22" s="6" t="str">
        <f t="shared" ref="M22" si="37">IF(K22*J22&lt;0, "a = "&amp;H22, IF(K22*I22&lt;0, "b = "&amp;H22, "ERROR"))</f>
        <v>b = 3,208984375</v>
      </c>
      <c r="P22" s="9">
        <v>8</v>
      </c>
      <c r="Q22" s="9">
        <f t="shared" si="1"/>
        <v>-109.84503787208223</v>
      </c>
    </row>
    <row r="23" spans="2:24">
      <c r="E23" s="6">
        <v>9</v>
      </c>
      <c r="F23" s="6">
        <f>+F22</f>
        <v>3.20703125</v>
      </c>
      <c r="G23" s="6">
        <f>+H22</f>
        <v>3.208984375</v>
      </c>
      <c r="H23" s="6">
        <f t="shared" ref="H23" si="38">(F23+G23)/2</f>
        <v>3.2080078125</v>
      </c>
      <c r="I23" s="6">
        <f t="shared" ref="I23" si="39">F23^3 - EXP(0.8*F23) - 20</f>
        <v>-2.4311363882567605E-2</v>
      </c>
      <c r="J23" s="6">
        <f t="shared" ref="J23" si="40">G23^3 - EXP(0.8*G23) - 20</f>
        <v>1.5647189915139137E-2</v>
      </c>
      <c r="K23" s="6">
        <f t="shared" ref="K23" si="41">H23^3 - EXP(0.8*H23) - 20</f>
        <v>-4.3372920982065466E-3</v>
      </c>
      <c r="L23" s="6" t="str">
        <f t="shared" ref="L23:L28" si="42">IF(ABS(K23)&lt;=0.0001, "SI","NO")</f>
        <v>NO</v>
      </c>
      <c r="M23" s="6" t="str">
        <f t="shared" ref="M23" si="43">IF(K23*J23&lt;0, "a = "&amp;H23, IF(K23*I23&lt;0, "b = "&amp;H23, "ERROR"))</f>
        <v>a = 3,2080078125</v>
      </c>
    </row>
    <row r="24" spans="2:24" ht="21">
      <c r="E24" s="6">
        <v>10</v>
      </c>
      <c r="F24" s="6">
        <f>+H23</f>
        <v>3.2080078125</v>
      </c>
      <c r="G24" s="6">
        <f>+G23</f>
        <v>3.208984375</v>
      </c>
      <c r="H24" s="6">
        <f t="shared" ref="H24" si="44">(F24+G24)/2</f>
        <v>3.20849609375</v>
      </c>
      <c r="I24" s="6">
        <f t="shared" ref="I24" si="45">F24^3 - EXP(0.8*F24) - 20</f>
        <v>-4.3372920982065466E-3</v>
      </c>
      <c r="J24" s="6">
        <f t="shared" ref="J24" si="46">G24^3 - EXP(0.8*G24) - 20</f>
        <v>1.5647189915139137E-2</v>
      </c>
      <c r="K24" s="6">
        <f t="shared" ref="K24" si="47">H24^3 - EXP(0.8*H24) - 20</f>
        <v>5.6536476686304127E-3</v>
      </c>
      <c r="L24" s="6" t="str">
        <f t="shared" si="42"/>
        <v>NO</v>
      </c>
      <c r="M24" s="6" t="str">
        <f t="shared" ref="M24" si="48">IF(K24*J24&lt;0, "a = "&amp;H24, IF(K24*I24&lt;0, "b = "&amp;H24, "ERROR"))</f>
        <v>b = 3,20849609375</v>
      </c>
      <c r="P24" s="21" t="s">
        <v>38</v>
      </c>
      <c r="X24" s="15" t="s">
        <v>43</v>
      </c>
    </row>
    <row r="25" spans="2:24">
      <c r="E25" s="6">
        <v>11</v>
      </c>
      <c r="F25" s="6">
        <f>+F24</f>
        <v>3.2080078125</v>
      </c>
      <c r="G25" s="6">
        <f>+H24</f>
        <v>3.20849609375</v>
      </c>
      <c r="H25" s="6">
        <f t="shared" ref="H25" si="49">(F25+G25)/2</f>
        <v>3.208251953125</v>
      </c>
      <c r="I25" s="6">
        <f t="shared" ref="I25" si="50">F25^3 - EXP(0.8*F25) - 20</f>
        <v>-4.3372920982065466E-3</v>
      </c>
      <c r="J25" s="6">
        <f t="shared" ref="J25" si="51">G25^3 - EXP(0.8*G25) - 20</f>
        <v>5.6536476686304127E-3</v>
      </c>
      <c r="K25" s="6">
        <f t="shared" ref="K25" si="52">H25^3 - EXP(0.8*H25) - 20</f>
        <v>6.5785247038974148E-4</v>
      </c>
      <c r="L25" s="6" t="str">
        <f t="shared" si="42"/>
        <v>NO</v>
      </c>
      <c r="M25" s="6" t="str">
        <f t="shared" ref="M25" si="53">IF(K25*J25&lt;0, "a = "&amp;H25, IF(K25*I25&lt;0, "b = "&amp;H25, "ERROR"))</f>
        <v>b = 3,208251953125</v>
      </c>
    </row>
    <row r="26" spans="2:24">
      <c r="E26" s="6">
        <v>12</v>
      </c>
      <c r="F26" s="6">
        <f>+F25</f>
        <v>3.2080078125</v>
      </c>
      <c r="G26" s="6">
        <f>+H25</f>
        <v>3.208251953125</v>
      </c>
      <c r="H26" s="6">
        <f t="shared" ref="H26" si="54">(F26+G26)/2</f>
        <v>3.2081298828125</v>
      </c>
      <c r="I26" s="6">
        <f t="shared" ref="I26" si="55">F26^3 - EXP(0.8*F26) - 20</f>
        <v>-4.3372920982065466E-3</v>
      </c>
      <c r="J26" s="6">
        <f t="shared" ref="J26" si="56">G26^3 - EXP(0.8*G26) - 20</f>
        <v>6.5785247038974148E-4</v>
      </c>
      <c r="K26" s="6">
        <f t="shared" ref="K26" si="57">H26^3 - EXP(0.8*H26) - 20</f>
        <v>-1.8398011432196881E-3</v>
      </c>
      <c r="L26" s="6" t="str">
        <f t="shared" si="42"/>
        <v>NO</v>
      </c>
      <c r="M26" s="6" t="str">
        <f t="shared" ref="M26" si="58">IF(K26*J26&lt;0, "a = "&amp;H26, IF(K26*I26&lt;0, "b = "&amp;H26, "ERROR"))</f>
        <v>a = 3,2081298828125</v>
      </c>
    </row>
    <row r="27" spans="2:24">
      <c r="E27" s="6">
        <v>13</v>
      </c>
      <c r="F27" s="6">
        <f>+H26</f>
        <v>3.2081298828125</v>
      </c>
      <c r="G27" s="6">
        <f>+G26</f>
        <v>3.208251953125</v>
      </c>
      <c r="H27" s="6">
        <f t="shared" ref="H27" si="59">(F27+G27)/2</f>
        <v>3.20819091796875</v>
      </c>
      <c r="I27" s="6">
        <f t="shared" ref="I27" si="60">F27^3 - EXP(0.8*F27) - 20</f>
        <v>-1.8398011432196881E-3</v>
      </c>
      <c r="J27" s="6">
        <f t="shared" ref="J27" si="61">G27^3 - EXP(0.8*G27) - 20</f>
        <v>6.5785247038974148E-4</v>
      </c>
      <c r="K27" s="6">
        <f t="shared" ref="K27" si="62">H27^3 - EXP(0.8*H27) - 20</f>
        <v>-5.9099466866285866E-4</v>
      </c>
      <c r="L27" s="6" t="str">
        <f t="shared" si="42"/>
        <v>NO</v>
      </c>
      <c r="M27" s="6" t="str">
        <f t="shared" ref="M27" si="63">IF(K27*J27&lt;0, "a = "&amp;H27, IF(K27*I27&lt;0, "b = "&amp;H27, "ERROR"))</f>
        <v>a = 3,20819091796875</v>
      </c>
    </row>
    <row r="28" spans="2:24">
      <c r="E28" s="6">
        <v>14</v>
      </c>
      <c r="F28" s="10">
        <f>+H27</f>
        <v>3.20819091796875</v>
      </c>
      <c r="G28" s="10">
        <f>+G27</f>
        <v>3.208251953125</v>
      </c>
      <c r="H28" s="2">
        <f t="shared" ref="H28" si="64">(F28+G28)/2</f>
        <v>3.208221435546875</v>
      </c>
      <c r="I28" s="6">
        <f t="shared" ref="I28" si="65">F28^3 - EXP(0.8*F28) - 20</f>
        <v>-5.9099466866285866E-4</v>
      </c>
      <c r="J28" s="6">
        <f t="shared" ref="J28" si="66">G28^3 - EXP(0.8*G28) - 20</f>
        <v>6.5785247038974148E-4</v>
      </c>
      <c r="K28" s="6">
        <f t="shared" ref="K28" si="67">H28^3 - EXP(0.8*H28) - 20</f>
        <v>3.3423817811240042E-5</v>
      </c>
      <c r="L28" s="6" t="str">
        <f t="shared" si="42"/>
        <v>SI</v>
      </c>
      <c r="M28" s="6" t="str">
        <f t="shared" ref="M28" si="68">IF(K28*J28&lt;0, "a = "&amp;H28, IF(K28*I28&lt;0, "b = "&amp;H28, "ERROR"))</f>
        <v>b = 3,20822143554687</v>
      </c>
    </row>
    <row r="32" spans="2:24">
      <c r="E32" s="5" t="s">
        <v>7</v>
      </c>
      <c r="F32" s="5" t="s">
        <v>8</v>
      </c>
      <c r="G32" s="5" t="s">
        <v>9</v>
      </c>
      <c r="H32" s="5" t="s">
        <v>10</v>
      </c>
      <c r="I32" s="5" t="s">
        <v>11</v>
      </c>
      <c r="J32" s="5" t="s">
        <v>12</v>
      </c>
      <c r="K32" s="5" t="s">
        <v>13</v>
      </c>
      <c r="L32" s="5" t="s">
        <v>2</v>
      </c>
    </row>
    <row r="33" spans="5:16">
      <c r="E33" s="6">
        <v>0</v>
      </c>
      <c r="F33" s="6">
        <v>7</v>
      </c>
      <c r="G33" s="6">
        <v>8</v>
      </c>
      <c r="H33" s="6">
        <f t="shared" ref="H33:H52" si="69">(F33+G33)/2</f>
        <v>7.5</v>
      </c>
      <c r="I33" s="6">
        <f t="shared" ref="I33:I52" si="70">F33^3 - EXP(0.8*F33) - 20</f>
        <v>52.573592573847236</v>
      </c>
      <c r="J33" s="6">
        <f t="shared" ref="J33:J52" si="71">G33^3 - EXP(0.8*G33) - 20</f>
        <v>-109.84503787208223</v>
      </c>
      <c r="K33" s="6">
        <f t="shared" ref="K33:K52" si="72">H33^3 - EXP(0.8*H33) - 20</f>
        <v>-1.5537934927351102</v>
      </c>
      <c r="L33" s="6">
        <v>1E-4</v>
      </c>
      <c r="M33" s="6" t="str">
        <f t="shared" ref="M33:M52" si="73">IF(K33*J33&lt;0, "a = "&amp;H33, IF(K33*I33&lt;0, "b = "&amp;H33, "ERROR"))</f>
        <v>b = 7,5</v>
      </c>
    </row>
    <row r="34" spans="5:16">
      <c r="E34" s="6">
        <v>1</v>
      </c>
      <c r="F34" s="6">
        <f>+F33</f>
        <v>7</v>
      </c>
      <c r="G34" s="6">
        <f>+H33</f>
        <v>7.5</v>
      </c>
      <c r="H34" s="6">
        <f t="shared" si="69"/>
        <v>7.25</v>
      </c>
      <c r="I34" s="6">
        <f t="shared" si="70"/>
        <v>52.573592573847236</v>
      </c>
      <c r="J34" s="6">
        <f t="shared" si="71"/>
        <v>-1.5537934927351102</v>
      </c>
      <c r="K34" s="6">
        <f t="shared" si="72"/>
        <v>30.778565090351094</v>
      </c>
      <c r="L34" s="6" t="str">
        <f t="shared" ref="L34:L52" si="74">IF(ABS(K34)&lt;=0.0001, "SI","NO")</f>
        <v>NO</v>
      </c>
      <c r="M34" s="6" t="str">
        <f t="shared" si="73"/>
        <v>a = 7,25</v>
      </c>
    </row>
    <row r="35" spans="5:16">
      <c r="E35" s="6">
        <v>2</v>
      </c>
      <c r="F35" s="6">
        <f>+H34</f>
        <v>7.25</v>
      </c>
      <c r="G35" s="6">
        <f>+G34</f>
        <v>7.5</v>
      </c>
      <c r="H35" s="6">
        <f t="shared" si="69"/>
        <v>7.375</v>
      </c>
      <c r="I35" s="6">
        <f t="shared" si="70"/>
        <v>30.778565090351094</v>
      </c>
      <c r="J35" s="6">
        <f t="shared" si="71"/>
        <v>-1.5537934927351102</v>
      </c>
      <c r="K35" s="6">
        <f t="shared" si="72"/>
        <v>16.093391509671108</v>
      </c>
      <c r="L35" s="6" t="str">
        <f t="shared" si="74"/>
        <v>NO</v>
      </c>
      <c r="M35" s="6" t="str">
        <f t="shared" si="73"/>
        <v>a = 7,375</v>
      </c>
    </row>
    <row r="36" spans="5:16">
      <c r="E36" s="6">
        <v>3</v>
      </c>
      <c r="F36" s="6">
        <f>+H35</f>
        <v>7.375</v>
      </c>
      <c r="G36" s="6">
        <f>+G35</f>
        <v>7.5</v>
      </c>
      <c r="H36" s="6">
        <f t="shared" si="69"/>
        <v>7.4375</v>
      </c>
      <c r="I36" s="6">
        <f t="shared" si="70"/>
        <v>16.093391509671108</v>
      </c>
      <c r="J36" s="6">
        <f t="shared" si="71"/>
        <v>-1.5537934927351102</v>
      </c>
      <c r="K36" s="6">
        <f t="shared" si="72"/>
        <v>7.6624324232631125</v>
      </c>
      <c r="L36" s="6" t="str">
        <f t="shared" si="74"/>
        <v>NO</v>
      </c>
      <c r="M36" s="6" t="str">
        <f t="shared" si="73"/>
        <v>a = 7,4375</v>
      </c>
    </row>
    <row r="37" spans="5:16">
      <c r="E37" s="6">
        <v>4</v>
      </c>
      <c r="F37" s="6">
        <f>+H36</f>
        <v>7.4375</v>
      </c>
      <c r="G37" s="6">
        <f>+G36</f>
        <v>7.5</v>
      </c>
      <c r="H37" s="6">
        <f t="shared" si="69"/>
        <v>7.46875</v>
      </c>
      <c r="I37" s="6">
        <f t="shared" si="70"/>
        <v>7.6624324232631125</v>
      </c>
      <c r="J37" s="6">
        <f t="shared" si="71"/>
        <v>-1.5537934927351102</v>
      </c>
      <c r="K37" s="6">
        <f t="shared" si="72"/>
        <v>3.1554035475757587</v>
      </c>
      <c r="L37" s="6" t="str">
        <f t="shared" si="74"/>
        <v>NO</v>
      </c>
      <c r="M37" s="6" t="str">
        <f t="shared" si="73"/>
        <v>a = 7,46875</v>
      </c>
    </row>
    <row r="38" spans="5:16">
      <c r="E38" s="6">
        <v>5</v>
      </c>
      <c r="F38" s="6">
        <f>+H37</f>
        <v>7.46875</v>
      </c>
      <c r="G38" s="6">
        <f>+G37</f>
        <v>7.5</v>
      </c>
      <c r="H38" s="6">
        <f t="shared" si="69"/>
        <v>7.484375</v>
      </c>
      <c r="I38" s="6">
        <f t="shared" si="70"/>
        <v>3.1554035475757587</v>
      </c>
      <c r="J38" s="6">
        <f t="shared" si="71"/>
        <v>-1.5537934927351102</v>
      </c>
      <c r="K38" s="6">
        <f t="shared" si="72"/>
        <v>0.8264500659092846</v>
      </c>
      <c r="L38" s="6" t="str">
        <f t="shared" si="74"/>
        <v>NO</v>
      </c>
      <c r="M38" s="6" t="str">
        <f t="shared" si="73"/>
        <v>a = 7,484375</v>
      </c>
    </row>
    <row r="39" spans="5:16">
      <c r="E39" s="6">
        <v>6</v>
      </c>
      <c r="F39" s="6">
        <f>+H38</f>
        <v>7.484375</v>
      </c>
      <c r="G39" s="6">
        <f>+G38</f>
        <v>7.5</v>
      </c>
      <c r="H39" s="6">
        <f t="shared" si="69"/>
        <v>7.4921875</v>
      </c>
      <c r="I39" s="6">
        <f t="shared" si="70"/>
        <v>0.8264500659092846</v>
      </c>
      <c r="J39" s="6">
        <f t="shared" si="71"/>
        <v>-1.5537934927351102</v>
      </c>
      <c r="K39" s="6">
        <f t="shared" si="72"/>
        <v>-0.35721317290773413</v>
      </c>
      <c r="L39" s="6" t="str">
        <f t="shared" si="74"/>
        <v>NO</v>
      </c>
      <c r="M39" s="6" t="str">
        <f t="shared" si="73"/>
        <v>b = 7,4921875</v>
      </c>
    </row>
    <row r="40" spans="5:16">
      <c r="E40" s="6">
        <v>7</v>
      </c>
      <c r="F40" s="6">
        <f>+F39</f>
        <v>7.484375</v>
      </c>
      <c r="G40" s="6">
        <f>+H39</f>
        <v>7.4921875</v>
      </c>
      <c r="H40" s="6">
        <f t="shared" si="69"/>
        <v>7.48828125</v>
      </c>
      <c r="I40" s="6">
        <f t="shared" si="70"/>
        <v>0.8264500659092846</v>
      </c>
      <c r="J40" s="6">
        <f t="shared" si="71"/>
        <v>-0.35721317290773413</v>
      </c>
      <c r="K40" s="6">
        <f t="shared" si="72"/>
        <v>0.23622714772449172</v>
      </c>
      <c r="L40" s="6" t="str">
        <f t="shared" si="74"/>
        <v>NO</v>
      </c>
      <c r="M40" s="6" t="str">
        <f t="shared" si="73"/>
        <v>a = 7,48828125</v>
      </c>
    </row>
    <row r="41" spans="5:16">
      <c r="E41" s="6">
        <v>8</v>
      </c>
      <c r="F41" s="6">
        <f>+H40</f>
        <v>7.48828125</v>
      </c>
      <c r="G41" s="6">
        <f>+G40</f>
        <v>7.4921875</v>
      </c>
      <c r="H41" s="6">
        <f t="shared" si="69"/>
        <v>7.490234375</v>
      </c>
      <c r="I41" s="6">
        <f t="shared" si="70"/>
        <v>0.23622714772449172</v>
      </c>
      <c r="J41" s="6">
        <f t="shared" si="71"/>
        <v>-0.35721317290773413</v>
      </c>
      <c r="K41" s="6">
        <f t="shared" si="72"/>
        <v>-6.0090097039847024E-2</v>
      </c>
      <c r="L41" s="6" t="str">
        <f t="shared" si="74"/>
        <v>NO</v>
      </c>
      <c r="M41" s="6" t="str">
        <f t="shared" si="73"/>
        <v>b = 7,490234375</v>
      </c>
    </row>
    <row r="42" spans="5:16" ht="23.25">
      <c r="E42" s="6">
        <v>9</v>
      </c>
      <c r="F42" s="6">
        <f>+F41</f>
        <v>7.48828125</v>
      </c>
      <c r="G42" s="6">
        <f>+H41</f>
        <v>7.490234375</v>
      </c>
      <c r="H42" s="6">
        <f t="shared" si="69"/>
        <v>7.4892578125</v>
      </c>
      <c r="I42" s="6">
        <f t="shared" si="70"/>
        <v>0.23622714772449172</v>
      </c>
      <c r="J42" s="6">
        <f t="shared" si="71"/>
        <v>-6.0090097039847024E-2</v>
      </c>
      <c r="K42" s="6">
        <f t="shared" si="72"/>
        <v>8.8169161606231228E-2</v>
      </c>
      <c r="L42" s="6" t="str">
        <f t="shared" si="74"/>
        <v>NO</v>
      </c>
      <c r="M42" s="6" t="str">
        <f t="shared" si="73"/>
        <v>a = 7,4892578125</v>
      </c>
      <c r="P42" s="20" t="s">
        <v>37</v>
      </c>
    </row>
    <row r="43" spans="5:16">
      <c r="E43" s="6">
        <v>10</v>
      </c>
      <c r="F43" s="6">
        <f>+H42</f>
        <v>7.4892578125</v>
      </c>
      <c r="G43" s="6">
        <f>+G42</f>
        <v>7.490234375</v>
      </c>
      <c r="H43" s="6">
        <f t="shared" si="69"/>
        <v>7.48974609375</v>
      </c>
      <c r="I43" s="6">
        <f t="shared" si="70"/>
        <v>8.8169161606231228E-2</v>
      </c>
      <c r="J43" s="6">
        <f t="shared" si="71"/>
        <v>-6.0090097039847024E-2</v>
      </c>
      <c r="K43" s="6">
        <f t="shared" si="72"/>
        <v>1.406470292135964E-2</v>
      </c>
      <c r="L43" s="6" t="str">
        <f t="shared" si="74"/>
        <v>NO</v>
      </c>
      <c r="M43" s="6" t="str">
        <f t="shared" si="73"/>
        <v>a = 7,48974609375</v>
      </c>
    </row>
    <row r="44" spans="5:16">
      <c r="E44" s="6">
        <v>11</v>
      </c>
      <c r="F44" s="6">
        <f>+H43</f>
        <v>7.48974609375</v>
      </c>
      <c r="G44" s="6">
        <f>+G43</f>
        <v>7.490234375</v>
      </c>
      <c r="H44" s="6">
        <f t="shared" si="69"/>
        <v>7.489990234375</v>
      </c>
      <c r="I44" s="6">
        <f t="shared" si="70"/>
        <v>1.406470292135964E-2</v>
      </c>
      <c r="J44" s="6">
        <f t="shared" si="71"/>
        <v>-6.0090097039847024E-2</v>
      </c>
      <c r="K44" s="6">
        <f t="shared" si="72"/>
        <v>-2.300640295266021E-2</v>
      </c>
      <c r="L44" s="6" t="str">
        <f t="shared" si="74"/>
        <v>NO</v>
      </c>
      <c r="M44" s="6" t="str">
        <f t="shared" si="73"/>
        <v>b = 7,489990234375</v>
      </c>
    </row>
    <row r="45" spans="5:16">
      <c r="E45" s="6">
        <v>12</v>
      </c>
      <c r="F45" s="6">
        <f>+F44</f>
        <v>7.48974609375</v>
      </c>
      <c r="G45" s="6">
        <f>+H44</f>
        <v>7.489990234375</v>
      </c>
      <c r="H45" s="6">
        <f t="shared" si="69"/>
        <v>7.4898681640625</v>
      </c>
      <c r="I45" s="6">
        <f t="shared" si="70"/>
        <v>1.406470292135964E-2</v>
      </c>
      <c r="J45" s="6">
        <f t="shared" si="71"/>
        <v>-2.300640295266021E-2</v>
      </c>
      <c r="K45" s="6">
        <f t="shared" si="72"/>
        <v>-4.4692766700791253E-3</v>
      </c>
      <c r="L45" s="6" t="str">
        <f t="shared" si="74"/>
        <v>NO</v>
      </c>
      <c r="M45" s="6" t="str">
        <f t="shared" si="73"/>
        <v>b = 7,4898681640625</v>
      </c>
    </row>
    <row r="46" spans="5:16">
      <c r="E46" s="6">
        <v>13</v>
      </c>
      <c r="F46" s="6">
        <f>+F45</f>
        <v>7.48974609375</v>
      </c>
      <c r="G46" s="6">
        <f>+H45</f>
        <v>7.4898681640625</v>
      </c>
      <c r="H46" s="6">
        <f t="shared" si="69"/>
        <v>7.48980712890625</v>
      </c>
      <c r="I46" s="6">
        <f t="shared" si="70"/>
        <v>1.406470292135964E-2</v>
      </c>
      <c r="J46" s="6">
        <f t="shared" si="71"/>
        <v>-4.4692766700791253E-3</v>
      </c>
      <c r="K46" s="6">
        <f t="shared" si="72"/>
        <v>4.7981064394662098E-3</v>
      </c>
      <c r="L46" s="6" t="str">
        <f t="shared" si="74"/>
        <v>NO</v>
      </c>
      <c r="M46" s="6" t="str">
        <f t="shared" si="73"/>
        <v>a = 7,48980712890625</v>
      </c>
    </row>
    <row r="47" spans="5:16">
      <c r="E47" s="6">
        <v>14</v>
      </c>
      <c r="F47" s="6">
        <f>+H46</f>
        <v>7.48980712890625</v>
      </c>
      <c r="G47" s="6">
        <f>+G46</f>
        <v>7.4898681640625</v>
      </c>
      <c r="H47" s="6">
        <f t="shared" si="69"/>
        <v>7.489837646484375</v>
      </c>
      <c r="I47" s="6">
        <f t="shared" si="70"/>
        <v>4.7981064394662098E-3</v>
      </c>
      <c r="J47" s="6">
        <f t="shared" si="71"/>
        <v>-4.4692766700791253E-3</v>
      </c>
      <c r="K47" s="6">
        <f t="shared" si="72"/>
        <v>1.6451321619115333E-4</v>
      </c>
      <c r="L47" s="6" t="str">
        <f t="shared" si="74"/>
        <v>NO</v>
      </c>
      <c r="M47" s="6" t="str">
        <f t="shared" si="73"/>
        <v>a = 7,48983764648437</v>
      </c>
    </row>
    <row r="48" spans="5:16">
      <c r="E48" s="6">
        <v>15</v>
      </c>
      <c r="F48" s="6">
        <f>+H47</f>
        <v>7.489837646484375</v>
      </c>
      <c r="G48" s="6">
        <f>+G47</f>
        <v>7.4898681640625</v>
      </c>
      <c r="H48" s="6">
        <f t="shared" si="69"/>
        <v>7.4898529052734375</v>
      </c>
      <c r="I48" s="6">
        <f t="shared" si="70"/>
        <v>1.6451321619115333E-4</v>
      </c>
      <c r="J48" s="6">
        <f t="shared" si="71"/>
        <v>-4.4692766700791253E-3</v>
      </c>
      <c r="K48" s="6">
        <f t="shared" si="72"/>
        <v>-2.1523571436432576E-3</v>
      </c>
      <c r="L48" s="6" t="str">
        <f t="shared" si="74"/>
        <v>NO</v>
      </c>
      <c r="M48" s="6" t="str">
        <f t="shared" si="73"/>
        <v>b = 7,48985290527344</v>
      </c>
    </row>
    <row r="49" spans="1:20">
      <c r="E49" s="6">
        <v>16</v>
      </c>
      <c r="F49" s="6">
        <f>+F48</f>
        <v>7.489837646484375</v>
      </c>
      <c r="G49" s="6">
        <f>+H48</f>
        <v>7.4898529052734375</v>
      </c>
      <c r="H49" s="6">
        <f t="shared" si="69"/>
        <v>7.4898452758789063</v>
      </c>
      <c r="I49" s="6">
        <f t="shared" si="70"/>
        <v>1.6451321619115333E-4</v>
      </c>
      <c r="J49" s="6">
        <f t="shared" si="71"/>
        <v>-2.1523571436432576E-3</v>
      </c>
      <c r="K49" s="6">
        <f t="shared" si="72"/>
        <v>-9.939158181282437E-4</v>
      </c>
      <c r="L49" s="6" t="str">
        <f t="shared" si="74"/>
        <v>NO</v>
      </c>
      <c r="M49" s="6" t="str">
        <f t="shared" si="73"/>
        <v>b = 7,48984527587891</v>
      </c>
    </row>
    <row r="50" spans="1:20">
      <c r="E50" s="6">
        <v>17</v>
      </c>
      <c r="F50" s="6">
        <f>+F49</f>
        <v>7.489837646484375</v>
      </c>
      <c r="G50" s="6">
        <f>+H49</f>
        <v>7.4898452758789063</v>
      </c>
      <c r="H50" s="6">
        <f t="shared" si="69"/>
        <v>7.4898414611816406</v>
      </c>
      <c r="I50" s="6">
        <f t="shared" si="70"/>
        <v>1.6451321619115333E-4</v>
      </c>
      <c r="J50" s="6">
        <f t="shared" si="71"/>
        <v>-9.939158181282437E-4</v>
      </c>
      <c r="K50" s="6">
        <f t="shared" si="72"/>
        <v>-4.146997645761985E-4</v>
      </c>
      <c r="L50" s="6" t="str">
        <f>IF(ABS(K50)&lt;=0.0001, "SI","NO")</f>
        <v>NO</v>
      </c>
      <c r="M50" s="6" t="str">
        <f t="shared" si="73"/>
        <v>b = 7,48984146118164</v>
      </c>
    </row>
    <row r="51" spans="1:20">
      <c r="E51" s="6">
        <v>18</v>
      </c>
      <c r="F51" s="6">
        <f>+F50</f>
        <v>7.489837646484375</v>
      </c>
      <c r="G51" s="6">
        <f>+H50</f>
        <v>7.4898414611816406</v>
      </c>
      <c r="H51" s="6">
        <f t="shared" si="69"/>
        <v>7.4898395538330078</v>
      </c>
      <c r="I51" s="6">
        <f t="shared" si="70"/>
        <v>1.6451321619115333E-4</v>
      </c>
      <c r="J51" s="6">
        <f t="shared" si="71"/>
        <v>-4.146997645761985E-4</v>
      </c>
      <c r="K51" s="6">
        <f t="shared" si="72"/>
        <v>-1.2509289030049331E-4</v>
      </c>
      <c r="L51" s="6" t="str">
        <f t="shared" si="74"/>
        <v>NO</v>
      </c>
      <c r="M51" s="6" t="str">
        <f t="shared" si="73"/>
        <v>b = 7,48983955383301</v>
      </c>
    </row>
    <row r="52" spans="1:20">
      <c r="E52" s="6">
        <v>19</v>
      </c>
      <c r="F52" s="6">
        <f>+F51</f>
        <v>7.489837646484375</v>
      </c>
      <c r="G52" s="6">
        <f>+H51</f>
        <v>7.4898395538330078</v>
      </c>
      <c r="H52" s="11">
        <f t="shared" si="69"/>
        <v>7.4898386001586914</v>
      </c>
      <c r="I52" s="6">
        <f t="shared" si="70"/>
        <v>1.6451321619115333E-4</v>
      </c>
      <c r="J52" s="6">
        <f t="shared" si="71"/>
        <v>-1.2509289030049331E-4</v>
      </c>
      <c r="K52" s="6">
        <f t="shared" si="72"/>
        <v>1.9710259152816434E-5</v>
      </c>
      <c r="L52" s="6" t="str">
        <f t="shared" si="74"/>
        <v>SI</v>
      </c>
      <c r="M52" s="6" t="str">
        <f t="shared" si="73"/>
        <v>a = 7,48983860015869</v>
      </c>
    </row>
    <row r="56" spans="1:20" ht="28.5">
      <c r="A56" s="1" t="s">
        <v>30</v>
      </c>
    </row>
    <row r="58" spans="1:20">
      <c r="A58" s="2" t="s">
        <v>4</v>
      </c>
      <c r="B58" t="s">
        <v>5</v>
      </c>
      <c r="D58" s="3" t="s">
        <v>2</v>
      </c>
      <c r="E58" s="4">
        <v>1E-4</v>
      </c>
      <c r="G58" s="18" t="s">
        <v>7</v>
      </c>
      <c r="H58" s="18" t="s">
        <v>20</v>
      </c>
      <c r="I58" s="18" t="s">
        <v>32</v>
      </c>
      <c r="J58" s="18" t="s">
        <v>33</v>
      </c>
      <c r="K58" s="18" t="s">
        <v>2</v>
      </c>
      <c r="M58" s="18" t="s">
        <v>7</v>
      </c>
      <c r="N58" s="18" t="s">
        <v>20</v>
      </c>
      <c r="O58" s="18" t="s">
        <v>32</v>
      </c>
      <c r="P58" s="18" t="s">
        <v>33</v>
      </c>
      <c r="Q58" s="18" t="s">
        <v>2</v>
      </c>
    </row>
    <row r="59" spans="1:20">
      <c r="G59" s="6">
        <v>0</v>
      </c>
      <c r="H59" s="6">
        <v>3</v>
      </c>
      <c r="I59" s="6">
        <f>H59^3 - EXP(0.8*H59) - 20</f>
        <v>-4.0231763806416048</v>
      </c>
      <c r="J59" s="6">
        <f>3*(H59^2)-0.8*EXP(0.8*H59)</f>
        <v>18.181458895486713</v>
      </c>
      <c r="K59" s="6">
        <v>1E-4</v>
      </c>
      <c r="M59" s="6">
        <v>0</v>
      </c>
      <c r="N59" s="6">
        <v>7</v>
      </c>
      <c r="O59" s="6">
        <f t="shared" ref="O59:O64" si="75">N59^3 - EXP(0.8*N59) - 20</f>
        <v>52.573592573847236</v>
      </c>
      <c r="P59" s="6">
        <f t="shared" ref="P59:P64" si="76">3*(N59^2)-0.8*EXP(0.8*N59)</f>
        <v>-69.341125940922211</v>
      </c>
      <c r="Q59" s="6">
        <v>1E-4</v>
      </c>
    </row>
    <row r="60" spans="1:20">
      <c r="A60" s="2" t="s">
        <v>3</v>
      </c>
      <c r="B60" t="s">
        <v>6</v>
      </c>
      <c r="D60" s="17" t="s">
        <v>31</v>
      </c>
      <c r="G60" s="6">
        <v>1</v>
      </c>
      <c r="H60" s="6">
        <f>H59-(I59/J59)</f>
        <v>3.2212790735753498</v>
      </c>
      <c r="I60" s="6">
        <f>H60^3 - EXP(0.8*H60) - 20</f>
        <v>0.26813753807199703</v>
      </c>
      <c r="J60" s="6">
        <f>3*(H60^2)-0.8*EXP(0.8*H60)</f>
        <v>20.603586923612387</v>
      </c>
      <c r="K60" s="6" t="str">
        <f>IF(ABS(I60)&lt;=0.0001, "SI","NO")</f>
        <v>NO</v>
      </c>
      <c r="M60" s="6">
        <v>1</v>
      </c>
      <c r="N60" s="6">
        <f>N59-(O59/P59)</f>
        <v>7.7581877545316944</v>
      </c>
      <c r="O60" s="6">
        <f t="shared" si="75"/>
        <v>-49.025976273836591</v>
      </c>
      <c r="P60" s="6">
        <f t="shared" si="76"/>
        <v>-216.22136150166909</v>
      </c>
      <c r="Q60" s="6" t="str">
        <f>IF(ABS(O60)&lt;=0.0001, "SI","NO")</f>
        <v>NO</v>
      </c>
    </row>
    <row r="61" spans="1:20">
      <c r="G61" s="6">
        <v>2</v>
      </c>
      <c r="H61" s="6">
        <f>H60-(I60/J60)</f>
        <v>3.2082649542831065</v>
      </c>
      <c r="I61" s="6">
        <f>H61^3 - EXP(0.8*H61) - 20</f>
        <v>9.2387586991549142E-4</v>
      </c>
      <c r="J61" s="6">
        <f>3*(H61^2)-0.8*EXP(0.8*H61)</f>
        <v>20.461586566493899</v>
      </c>
      <c r="K61" s="6" t="str">
        <f>IF(ABS(I61)&lt;=0.0001, "SI","NO")</f>
        <v>NO</v>
      </c>
      <c r="M61" s="6">
        <v>2</v>
      </c>
      <c r="N61" s="6">
        <f>N60-(O60/P60)</f>
        <v>7.5314480099784804</v>
      </c>
      <c r="O61" s="6">
        <f t="shared" si="75"/>
        <v>-6.5030365759858455</v>
      </c>
      <c r="P61" s="6">
        <f t="shared" si="76"/>
        <v>-160.79760969992125</v>
      </c>
      <c r="Q61" s="6" t="str">
        <f>IF(ABS(O61)&lt;=0.0001, "SI","NO")</f>
        <v>NO</v>
      </c>
      <c r="T61" s="15" t="s">
        <v>44</v>
      </c>
    </row>
    <row r="62" spans="1:20">
      <c r="A62" s="2" t="s">
        <v>3</v>
      </c>
      <c r="B62" t="s">
        <v>34</v>
      </c>
      <c r="G62" s="6">
        <v>3</v>
      </c>
      <c r="H62" s="2">
        <f>H61-(I61/J61)</f>
        <v>3.2082198025610289</v>
      </c>
      <c r="I62" s="6">
        <f>H62^3 - EXP(0.8*H62) - 20</f>
        <v>1.1126843446618295E-8</v>
      </c>
      <c r="J62" s="6">
        <f>3*(H62^2)-0.8*EXP(0.8*H62)</f>
        <v>20.461093701114216</v>
      </c>
      <c r="K62" s="6" t="str">
        <f>IF(ABS(I62)&lt;=0.0001, "SI","NO")</f>
        <v>SI</v>
      </c>
      <c r="M62" s="6">
        <v>3</v>
      </c>
      <c r="N62" s="10">
        <f>N61-(O61/P61)</f>
        <v>7.4910056390494493</v>
      </c>
      <c r="O62" s="6">
        <f t="shared" si="75"/>
        <v>-0.17732383498918125</v>
      </c>
      <c r="P62" s="6">
        <f t="shared" si="76"/>
        <v>-152.08357947827099</v>
      </c>
      <c r="Q62" s="6" t="str">
        <f>IF(ABS(O62)&lt;=0.0001, "SI","NO")</f>
        <v>NO</v>
      </c>
    </row>
    <row r="63" spans="1:20">
      <c r="H63" s="15" t="s">
        <v>25</v>
      </c>
      <c r="M63" s="6">
        <v>4</v>
      </c>
      <c r="N63" s="10">
        <f>N62-(O62/P62)</f>
        <v>7.4898396759941512</v>
      </c>
      <c r="O63" s="6">
        <f t="shared" si="75"/>
        <v>-1.4364149870971232E-4</v>
      </c>
      <c r="P63" s="6">
        <f t="shared" si="76"/>
        <v>-151.83723339633323</v>
      </c>
      <c r="Q63" s="6" t="str">
        <f>IF(ABS(O63)&lt;=0.0001, "SI","NO")</f>
        <v>NO</v>
      </c>
    </row>
    <row r="64" spans="1:20">
      <c r="M64" s="6">
        <v>5</v>
      </c>
      <c r="N64" s="2">
        <f>N63-(O63/P63)</f>
        <v>7.4898387299712592</v>
      </c>
      <c r="O64" s="6">
        <f t="shared" si="75"/>
        <v>-9.4530605565523729E-11</v>
      </c>
      <c r="P64" s="6">
        <f t="shared" si="76"/>
        <v>-151.83703362928554</v>
      </c>
      <c r="Q64" s="6" t="str">
        <f>IF(ABS(O64)&lt;=0.0001, "SI","NO")</f>
        <v>SI</v>
      </c>
    </row>
    <row r="65" spans="1:29">
      <c r="N65" s="15" t="s">
        <v>26</v>
      </c>
    </row>
    <row r="70" spans="1:29" ht="28.5">
      <c r="A70" s="1" t="s">
        <v>35</v>
      </c>
    </row>
    <row r="71" spans="1:29">
      <c r="T71" t="s">
        <v>45</v>
      </c>
      <c r="U71">
        <v>3.2082000000000002</v>
      </c>
    </row>
    <row r="72" spans="1:29">
      <c r="A72" s="2" t="s">
        <v>4</v>
      </c>
      <c r="B72" t="s">
        <v>5</v>
      </c>
      <c r="D72" s="3" t="s">
        <v>2</v>
      </c>
      <c r="E72" s="4">
        <v>1E-4</v>
      </c>
      <c r="G72" s="19" t="s">
        <v>7</v>
      </c>
      <c r="H72" s="19" t="s">
        <v>20</v>
      </c>
      <c r="I72" s="19" t="s">
        <v>32</v>
      </c>
      <c r="J72" s="19" t="s">
        <v>2</v>
      </c>
      <c r="M72" s="19" t="s">
        <v>7</v>
      </c>
      <c r="N72" s="19" t="s">
        <v>20</v>
      </c>
      <c r="O72" s="19" t="s">
        <v>32</v>
      </c>
      <c r="P72" s="19" t="s">
        <v>2</v>
      </c>
      <c r="T72" t="s">
        <v>46</v>
      </c>
      <c r="U72">
        <v>7.4897999999999998</v>
      </c>
    </row>
    <row r="73" spans="1:29" ht="15.75" customHeight="1">
      <c r="G73" s="6">
        <v>0</v>
      </c>
      <c r="H73" s="6">
        <v>3</v>
      </c>
      <c r="I73" s="6">
        <f>H73^3 - EXP(0.8*H73) - 20</f>
        <v>-4.0231763806416048</v>
      </c>
      <c r="J73" s="6">
        <v>1E-4</v>
      </c>
      <c r="M73" s="6">
        <v>0</v>
      </c>
      <c r="N73" s="6">
        <v>7</v>
      </c>
      <c r="O73" s="6">
        <f t="shared" ref="O73:O80" si="77">N73^3 - EXP(0.8*N73) - 20</f>
        <v>52.573592573847236</v>
      </c>
      <c r="P73" s="6">
        <v>1E-4</v>
      </c>
    </row>
    <row r="74" spans="1:29" ht="21.75" customHeight="1">
      <c r="A74" s="2" t="s">
        <v>3</v>
      </c>
      <c r="B74" t="s">
        <v>6</v>
      </c>
      <c r="D74" s="17" t="s">
        <v>31</v>
      </c>
      <c r="G74" s="6">
        <v>1</v>
      </c>
      <c r="H74" s="6">
        <v>4</v>
      </c>
      <c r="I74" s="6">
        <f>H74^3 - EXP(0.8*H74) - 20</f>
        <v>19.467469802890648</v>
      </c>
      <c r="J74" s="6" t="str">
        <f>IF(ABS(I74)&lt;=0.0001, "SI","NO")</f>
        <v>NO</v>
      </c>
      <c r="M74" s="6">
        <v>1</v>
      </c>
      <c r="N74" s="6">
        <v>8</v>
      </c>
      <c r="O74" s="6">
        <f t="shared" si="77"/>
        <v>-109.84503787208223</v>
      </c>
      <c r="P74" s="6" t="str">
        <f t="shared" ref="P74:P80" si="78">IF(ABS(O74)&lt;=0.0001, "SI","NO")</f>
        <v>NO</v>
      </c>
      <c r="T74" s="36" t="s">
        <v>47</v>
      </c>
      <c r="U74" s="36"/>
      <c r="V74" s="36"/>
      <c r="W74" s="36"/>
      <c r="X74" s="36"/>
      <c r="Y74" s="36"/>
      <c r="Z74" s="36"/>
      <c r="AA74" s="36"/>
      <c r="AB74" s="36"/>
      <c r="AC74" s="36"/>
    </row>
    <row r="75" spans="1:29" ht="17.25" customHeight="1">
      <c r="G75" s="6">
        <v>2</v>
      </c>
      <c r="H75" s="6">
        <f>H74-(I74*(H73-H74)/(I73-I74))</f>
        <v>3.1712671652030582</v>
      </c>
      <c r="I75" s="6">
        <f>H75^3 - EXP(0.8*H75) - 20</f>
        <v>-0.74863343680182481</v>
      </c>
      <c r="J75" s="6" t="str">
        <f>IF(ABS(I75)&lt;=0.0001, "SI","NO")</f>
        <v>NO</v>
      </c>
      <c r="M75" s="6">
        <v>2</v>
      </c>
      <c r="N75" s="6">
        <f t="shared" ref="N75:N80" si="79">N74-(O74*(N73-N74)/(O73-O74))</f>
        <v>7.3236918845424537</v>
      </c>
      <c r="O75" s="6">
        <f t="shared" si="77"/>
        <v>22.459621607538395</v>
      </c>
      <c r="P75" s="6" t="str">
        <f t="shared" si="78"/>
        <v>NO</v>
      </c>
      <c r="T75" s="22" t="s">
        <v>52</v>
      </c>
      <c r="U75" s="22" t="s">
        <v>48</v>
      </c>
      <c r="V75" s="22" t="s">
        <v>50</v>
      </c>
      <c r="W75" s="22" t="s">
        <v>51</v>
      </c>
      <c r="X75" s="22" t="s">
        <v>55</v>
      </c>
      <c r="Y75" s="22" t="s">
        <v>52</v>
      </c>
      <c r="Z75" s="22" t="s">
        <v>48</v>
      </c>
      <c r="AA75" s="22" t="s">
        <v>50</v>
      </c>
      <c r="AB75" s="22" t="s">
        <v>51</v>
      </c>
      <c r="AC75" s="25" t="s">
        <v>56</v>
      </c>
    </row>
    <row r="76" spans="1:29">
      <c r="G76" s="6">
        <v>3</v>
      </c>
      <c r="H76" s="6">
        <f>H75-(I75*(H74-H75)/(I74-I75))</f>
        <v>3.2019564183666658</v>
      </c>
      <c r="I76" s="6">
        <f>H76^3 - EXP(0.8*H76) - 20</f>
        <v>-0.12794153995860569</v>
      </c>
      <c r="J76" s="6" t="str">
        <f>IF(ABS(I76)&lt;=0.0001, "SI","NO")</f>
        <v>NO</v>
      </c>
      <c r="M76" s="6">
        <v>3</v>
      </c>
      <c r="N76" s="6">
        <f t="shared" si="79"/>
        <v>7.4384998166517802</v>
      </c>
      <c r="O76" s="6">
        <f t="shared" si="77"/>
        <v>7.5213043492045699</v>
      </c>
      <c r="P76" s="6" t="str">
        <f t="shared" si="78"/>
        <v>NO</v>
      </c>
      <c r="T76" s="23" t="s">
        <v>49</v>
      </c>
      <c r="U76" s="6">
        <f>ABS($U$71-H28)</f>
        <v>2.1435546874837286E-5</v>
      </c>
      <c r="V76" s="6">
        <f>U76/ABS($U$71)</f>
        <v>6.6814870877243578E-6</v>
      </c>
      <c r="W76" s="6">
        <f>V76*100</f>
        <v>6.6814870877243574E-4</v>
      </c>
      <c r="X76" s="6">
        <f>COUNT(E14:E28)</f>
        <v>15</v>
      </c>
      <c r="Y76" s="23" t="s">
        <v>49</v>
      </c>
      <c r="Z76" s="6">
        <f>ABS($U$72-H52)</f>
        <v>3.860015869161515E-5</v>
      </c>
      <c r="AA76" s="6">
        <f>$U$72/ABS(Z76)</f>
        <v>194035.47171496364</v>
      </c>
      <c r="AB76" s="6">
        <f>AA76*100</f>
        <v>19403547.171496365</v>
      </c>
      <c r="AC76" s="6">
        <v>20</v>
      </c>
    </row>
    <row r="77" spans="1:29">
      <c r="G77" s="6">
        <v>4</v>
      </c>
      <c r="H77" s="6">
        <f t="shared" ref="H77:H78" si="80">H76-(I76*(H75-H76)/(I75-I76))</f>
        <v>3.2082823110195275</v>
      </c>
      <c r="I77" s="6">
        <f t="shared" ref="I77:I78" si="81">H77^3 - EXP(0.8*H77) - 20</f>
        <v>1.2790238789150976E-3</v>
      </c>
      <c r="J77" s="6" t="str">
        <f t="shared" ref="J77:J78" si="82">IF(ABS(I77)&lt;=0.0001, "SI","NO")</f>
        <v>NO</v>
      </c>
      <c r="M77" s="6">
        <v>4</v>
      </c>
      <c r="N77" s="6">
        <f t="shared" si="79"/>
        <v>7.4963045468743443</v>
      </c>
      <c r="O77" s="6">
        <f t="shared" si="77"/>
        <v>-0.98617349676993626</v>
      </c>
      <c r="P77" s="6" t="str">
        <f t="shared" si="78"/>
        <v>NO</v>
      </c>
      <c r="T77" s="23" t="s">
        <v>54</v>
      </c>
      <c r="U77" s="6">
        <f>ABS($U$71-H62)</f>
        <v>1.9802561028736676E-5</v>
      </c>
      <c r="V77" s="6">
        <f t="shared" ref="V77:V78" si="83">U77/ABS($U$71)</f>
        <v>6.1724833329395534E-6</v>
      </c>
      <c r="W77" s="6">
        <f t="shared" ref="W77:W78" si="84">V77*100</f>
        <v>6.172483332939553E-4</v>
      </c>
      <c r="X77" s="6">
        <f>COUNT(G59:G62)</f>
        <v>4</v>
      </c>
      <c r="Y77" s="23" t="s">
        <v>54</v>
      </c>
      <c r="Z77" s="6">
        <f>ABS($U$72-N64)</f>
        <v>3.8729971259421347E-5</v>
      </c>
      <c r="AA77" s="6">
        <f>$U$72/ABS(Z77)</f>
        <v>193385.1163955628</v>
      </c>
      <c r="AB77" s="6">
        <f t="shared" ref="AB77:AB78" si="85">AA77*100</f>
        <v>19338511.639556281</v>
      </c>
      <c r="AC77" s="6">
        <f>COUNT(M59:M64)</f>
        <v>6</v>
      </c>
    </row>
    <row r="78" spans="1:29">
      <c r="G78" s="6">
        <v>5</v>
      </c>
      <c r="H78" s="2">
        <f t="shared" si="80"/>
        <v>3.208219697395827</v>
      </c>
      <c r="I78" s="6">
        <f t="shared" si="81"/>
        <v>-2.1406681440794273E-6</v>
      </c>
      <c r="J78" s="6" t="str">
        <f t="shared" si="82"/>
        <v>SI</v>
      </c>
      <c r="M78" s="6">
        <v>5</v>
      </c>
      <c r="N78" s="6">
        <f t="shared" si="79"/>
        <v>7.4896039131535757</v>
      </c>
      <c r="O78" s="6">
        <f t="shared" si="77"/>
        <v>3.5648067670081218E-2</v>
      </c>
      <c r="P78" s="6" t="str">
        <f t="shared" si="78"/>
        <v>NO</v>
      </c>
      <c r="T78" s="23" t="s">
        <v>53</v>
      </c>
      <c r="U78" s="6">
        <f>ABS($U$71-H78)</f>
        <v>1.9697395826856479E-5</v>
      </c>
      <c r="V78" s="6">
        <f t="shared" si="83"/>
        <v>6.1397032064261819E-6</v>
      </c>
      <c r="W78" s="6">
        <f t="shared" si="84"/>
        <v>6.1397032064261817E-4</v>
      </c>
      <c r="X78" s="6">
        <f>COUNT(G73:G78)</f>
        <v>6</v>
      </c>
      <c r="Y78" s="23" t="s">
        <v>53</v>
      </c>
      <c r="Z78" s="6">
        <f>ABS($U$72-N80)</f>
        <v>3.8730142634335607E-5</v>
      </c>
      <c r="AA78" s="6">
        <f t="shared" ref="AA78" si="86">$U$72/ABS(Z78)</f>
        <v>193384.26069621634</v>
      </c>
      <c r="AB78" s="6">
        <f t="shared" si="85"/>
        <v>19338426.069621634</v>
      </c>
      <c r="AC78" s="6">
        <f>COUNT(M73:M80)</f>
        <v>8</v>
      </c>
    </row>
    <row r="79" spans="1:29">
      <c r="H79" s="15" t="s">
        <v>25</v>
      </c>
      <c r="M79" s="6">
        <v>6</v>
      </c>
      <c r="N79" s="6">
        <f t="shared" si="79"/>
        <v>7.4898376767113461</v>
      </c>
      <c r="O79" s="6">
        <f t="shared" si="77"/>
        <v>1.5992364939165782E-4</v>
      </c>
      <c r="P79" s="6" t="str">
        <f t="shared" si="78"/>
        <v>NO</v>
      </c>
    </row>
    <row r="80" spans="1:29">
      <c r="M80" s="6">
        <v>7</v>
      </c>
      <c r="N80" s="2">
        <f t="shared" si="79"/>
        <v>7.4898387301426341</v>
      </c>
      <c r="O80" s="6">
        <f t="shared" si="77"/>
        <v>-2.6115685614058748E-8</v>
      </c>
      <c r="P80" s="6" t="str">
        <f t="shared" si="78"/>
        <v>SI</v>
      </c>
    </row>
    <row r="81" spans="14:14">
      <c r="N81" s="15" t="s">
        <v>26</v>
      </c>
    </row>
  </sheetData>
  <mergeCells count="1">
    <mergeCell ref="T74:AC74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35FF5-67B3-4379-A131-2B17EB1684E3}">
  <dimension ref="A1:V78"/>
  <sheetViews>
    <sheetView topLeftCell="C9" zoomScale="55" zoomScaleNormal="55" workbookViewId="0">
      <selection activeCell="O30" sqref="O30:S38"/>
    </sheetView>
  </sheetViews>
  <sheetFormatPr baseColWidth="10" defaultRowHeight="15"/>
  <cols>
    <col min="16" max="17" width="15.7109375" bestFit="1" customWidth="1"/>
  </cols>
  <sheetData>
    <row r="1" spans="1:22">
      <c r="A1" t="s">
        <v>1</v>
      </c>
    </row>
    <row r="3" spans="1:22" ht="28.5">
      <c r="A3" s="1" t="s">
        <v>0</v>
      </c>
    </row>
    <row r="6" spans="1:22">
      <c r="A6" s="2" t="s">
        <v>4</v>
      </c>
      <c r="B6" t="s">
        <v>22</v>
      </c>
      <c r="D6" s="3" t="s">
        <v>2</v>
      </c>
      <c r="E6" s="4">
        <v>1E-4</v>
      </c>
    </row>
    <row r="7" spans="1:22">
      <c r="O7" s="15" t="s">
        <v>57</v>
      </c>
    </row>
    <row r="8" spans="1:22">
      <c r="A8" s="2" t="s">
        <v>3</v>
      </c>
      <c r="B8" t="s">
        <v>22</v>
      </c>
    </row>
    <row r="9" spans="1:22">
      <c r="P9" t="s">
        <v>38</v>
      </c>
      <c r="V9" s="15" t="s">
        <v>43</v>
      </c>
    </row>
    <row r="11" spans="1:22">
      <c r="B11" s="8" t="s">
        <v>20</v>
      </c>
      <c r="C11" s="8" t="s">
        <v>21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2</v>
      </c>
    </row>
    <row r="12" spans="1:22">
      <c r="B12" s="6">
        <v>-10</v>
      </c>
      <c r="C12" s="6">
        <f>3*SIN(0.5*B12)-0.5*B12+2</f>
        <v>9.8767728239894161</v>
      </c>
      <c r="E12" s="6">
        <v>0</v>
      </c>
      <c r="F12" s="6">
        <v>5</v>
      </c>
      <c r="G12" s="6">
        <v>6</v>
      </c>
      <c r="H12" s="6">
        <f t="shared" ref="H12:H21" si="0">(F12+G12)/2</f>
        <v>5.5</v>
      </c>
      <c r="I12" s="6"/>
      <c r="J12" s="6">
        <f t="shared" ref="J12:J21" si="1">3*SIN(0.5*G12)-0.5*G12+2</f>
        <v>-0.57663997582039839</v>
      </c>
      <c r="K12" s="6">
        <f t="shared" ref="K12:K21" si="2">3*SIN(0.5*H12)-0.5*H12+2</f>
        <v>0.39498297615699496</v>
      </c>
      <c r="L12" s="4">
        <v>1E-4</v>
      </c>
      <c r="M12" t="str">
        <f t="shared" ref="M12:M21" si="3">IF(K12*J12&lt;0, "a = "&amp;H12, IF(K12*I12&lt;0, "b = "&amp;H12, "ERROR"))</f>
        <v>a = 5,5</v>
      </c>
    </row>
    <row r="13" spans="1:22">
      <c r="B13" s="6">
        <v>-9</v>
      </c>
      <c r="C13" s="6">
        <f t="shared" ref="C13:C47" si="4">3*SIN(0.5*B13)-0.5*B13+2</f>
        <v>9.432590352995291</v>
      </c>
      <c r="E13" s="6">
        <v>1</v>
      </c>
      <c r="F13" s="6">
        <f>+H12</f>
        <v>5.5</v>
      </c>
      <c r="G13" s="6">
        <f>+G12</f>
        <v>6</v>
      </c>
      <c r="H13" s="6">
        <f t="shared" si="0"/>
        <v>5.75</v>
      </c>
      <c r="I13" s="6">
        <f t="shared" ref="I13:I21" si="5">3*SIN(0.5*F13)-0.5*F13+2</f>
        <v>0.39498297615699496</v>
      </c>
      <c r="J13" s="6">
        <f t="shared" si="1"/>
        <v>-0.57663997582039839</v>
      </c>
      <c r="K13" s="6">
        <f t="shared" si="2"/>
        <v>-8.4662019909737651E-2</v>
      </c>
      <c r="L13" s="6" t="str">
        <f t="shared" ref="L13:L21" si="6">IF(ABS(K13)&lt;=0.0001, "SI","NO")</f>
        <v>NO</v>
      </c>
      <c r="M13" t="str">
        <f t="shared" si="3"/>
        <v>b = 5,75</v>
      </c>
    </row>
    <row r="14" spans="1:22">
      <c r="B14" s="6">
        <v>-8</v>
      </c>
      <c r="C14" s="6">
        <f t="shared" si="4"/>
        <v>8.2704074859237835</v>
      </c>
      <c r="E14" s="6">
        <v>2</v>
      </c>
      <c r="F14" s="6">
        <f>+F13</f>
        <v>5.5</v>
      </c>
      <c r="G14" s="6">
        <f>+H13</f>
        <v>5.75</v>
      </c>
      <c r="H14" s="6">
        <f t="shared" si="0"/>
        <v>5.625</v>
      </c>
      <c r="I14" s="6">
        <f t="shared" si="5"/>
        <v>0.39498297615699496</v>
      </c>
      <c r="J14" s="6">
        <f t="shared" si="1"/>
        <v>-8.4662019909737651E-2</v>
      </c>
      <c r="K14" s="6">
        <f t="shared" si="2"/>
        <v>0.15705352099906067</v>
      </c>
      <c r="L14" s="6" t="str">
        <f t="shared" si="6"/>
        <v>NO</v>
      </c>
      <c r="M14" t="str">
        <f t="shared" si="3"/>
        <v>a = 5,625</v>
      </c>
    </row>
    <row r="15" spans="1:22">
      <c r="B15" s="6">
        <v>-7</v>
      </c>
      <c r="C15" s="6">
        <f t="shared" si="4"/>
        <v>6.5523496830688597</v>
      </c>
      <c r="E15" s="6">
        <v>3</v>
      </c>
      <c r="F15" s="6">
        <f>+H14</f>
        <v>5.625</v>
      </c>
      <c r="G15" s="6">
        <f>+G14</f>
        <v>5.75</v>
      </c>
      <c r="H15" s="6">
        <f t="shared" si="0"/>
        <v>5.6875</v>
      </c>
      <c r="I15" s="6">
        <f t="shared" si="5"/>
        <v>0.15705352099906067</v>
      </c>
      <c r="J15" s="6">
        <f t="shared" si="1"/>
        <v>-8.4662019909737651E-2</v>
      </c>
      <c r="K15" s="6">
        <f t="shared" si="2"/>
        <v>3.6625586454641201E-2</v>
      </c>
      <c r="L15" s="6" t="str">
        <f t="shared" si="6"/>
        <v>NO</v>
      </c>
      <c r="M15" t="str">
        <f t="shared" si="3"/>
        <v>a = 5,6875</v>
      </c>
    </row>
    <row r="16" spans="1:22">
      <c r="B16" s="6">
        <v>-6</v>
      </c>
      <c r="C16" s="6">
        <f t="shared" si="4"/>
        <v>4.5766399758203988</v>
      </c>
      <c r="E16" s="6">
        <v>4</v>
      </c>
      <c r="F16" s="6">
        <f>+H15</f>
        <v>5.6875</v>
      </c>
      <c r="G16" s="6">
        <f>+G15</f>
        <v>5.75</v>
      </c>
      <c r="H16" s="6">
        <f t="shared" si="0"/>
        <v>5.71875</v>
      </c>
      <c r="I16" s="6">
        <f t="shared" si="5"/>
        <v>3.6625586454641201E-2</v>
      </c>
      <c r="J16" s="6">
        <f t="shared" si="1"/>
        <v>-8.4662019909737651E-2</v>
      </c>
      <c r="K16" s="6">
        <f t="shared" si="2"/>
        <v>-2.3916234089780275E-2</v>
      </c>
      <c r="L16" s="6" t="str">
        <f t="shared" si="6"/>
        <v>NO</v>
      </c>
      <c r="M16" t="str">
        <f t="shared" si="3"/>
        <v>b = 5,71875</v>
      </c>
    </row>
    <row r="17" spans="2:16">
      <c r="B17" s="6">
        <v>-5</v>
      </c>
      <c r="C17" s="6">
        <f t="shared" si="4"/>
        <v>2.7045835676881302</v>
      </c>
      <c r="E17" s="6">
        <v>5</v>
      </c>
      <c r="F17" s="6">
        <f>+F16</f>
        <v>5.6875</v>
      </c>
      <c r="G17" s="6">
        <f>+H16</f>
        <v>5.71875</v>
      </c>
      <c r="H17" s="6">
        <f t="shared" si="0"/>
        <v>5.703125</v>
      </c>
      <c r="I17" s="6">
        <f t="shared" si="5"/>
        <v>3.6625586454641201E-2</v>
      </c>
      <c r="J17" s="6">
        <f t="shared" si="1"/>
        <v>-2.3916234089780275E-2</v>
      </c>
      <c r="K17" s="6">
        <f t="shared" si="2"/>
        <v>6.3808584027273962E-3</v>
      </c>
      <c r="L17" s="6" t="str">
        <f t="shared" si="6"/>
        <v>NO</v>
      </c>
      <c r="M17" t="str">
        <f t="shared" si="3"/>
        <v>a = 5,703125</v>
      </c>
    </row>
    <row r="18" spans="2:16">
      <c r="B18" s="6">
        <v>-4</v>
      </c>
      <c r="C18" s="6">
        <f t="shared" si="4"/>
        <v>1.2721077195229551</v>
      </c>
      <c r="E18" s="6">
        <v>6</v>
      </c>
      <c r="F18" s="6">
        <f>+H17</f>
        <v>5.703125</v>
      </c>
      <c r="G18" s="6">
        <f>+G17</f>
        <v>5.71875</v>
      </c>
      <c r="H18" s="6">
        <f t="shared" si="0"/>
        <v>5.7109375</v>
      </c>
      <c r="I18" s="6">
        <f t="shared" si="5"/>
        <v>6.3808584027273962E-3</v>
      </c>
      <c r="J18" s="6">
        <f t="shared" si="1"/>
        <v>-2.3916234089780275E-2</v>
      </c>
      <c r="K18" s="6">
        <f t="shared" si="2"/>
        <v>-8.7612279860023179E-3</v>
      </c>
      <c r="L18" s="6" t="str">
        <f t="shared" si="6"/>
        <v>NO</v>
      </c>
      <c r="M18" t="str">
        <f t="shared" si="3"/>
        <v>b = 5,7109375</v>
      </c>
    </row>
    <row r="19" spans="2:16">
      <c r="B19" s="6">
        <v>-3</v>
      </c>
      <c r="C19" s="6">
        <f t="shared" si="4"/>
        <v>0.50751504018783677</v>
      </c>
      <c r="E19" s="6">
        <v>7</v>
      </c>
      <c r="F19" s="6">
        <f>+F18</f>
        <v>5.703125</v>
      </c>
      <c r="G19" s="6">
        <f>+H18</f>
        <v>5.7109375</v>
      </c>
      <c r="H19" s="6">
        <f t="shared" si="0"/>
        <v>5.70703125</v>
      </c>
      <c r="I19" s="6">
        <f t="shared" si="5"/>
        <v>6.3808584027273962E-3</v>
      </c>
      <c r="J19" s="6">
        <f t="shared" si="1"/>
        <v>-8.7612279860023179E-3</v>
      </c>
      <c r="K19" s="6">
        <f t="shared" si="2"/>
        <v>-1.1885591072906543E-3</v>
      </c>
      <c r="L19" s="6" t="str">
        <f t="shared" si="6"/>
        <v>NO</v>
      </c>
      <c r="M19" t="str">
        <f t="shared" si="3"/>
        <v>b = 5,70703125</v>
      </c>
    </row>
    <row r="20" spans="2:16">
      <c r="B20" s="6">
        <v>-2</v>
      </c>
      <c r="C20" s="6">
        <f t="shared" si="4"/>
        <v>0.47558704557631071</v>
      </c>
      <c r="E20" s="6">
        <v>8</v>
      </c>
      <c r="F20" s="6">
        <f>+F19</f>
        <v>5.703125</v>
      </c>
      <c r="G20" s="6">
        <f>+H19</f>
        <v>5.70703125</v>
      </c>
      <c r="H20" s="6">
        <f t="shared" si="0"/>
        <v>5.705078125</v>
      </c>
      <c r="I20" s="6">
        <f t="shared" si="5"/>
        <v>6.3808584027273962E-3</v>
      </c>
      <c r="J20" s="6">
        <f t="shared" si="1"/>
        <v>-1.1885591072906543E-3</v>
      </c>
      <c r="K20" s="6">
        <f t="shared" si="2"/>
        <v>2.5965574081250331E-3</v>
      </c>
      <c r="L20" s="6" t="str">
        <f t="shared" si="6"/>
        <v>NO</v>
      </c>
      <c r="M20" t="str">
        <f t="shared" si="3"/>
        <v>a = 5,705078125</v>
      </c>
    </row>
    <row r="21" spans="2:16">
      <c r="B21" s="6">
        <v>-1</v>
      </c>
      <c r="C21" s="6">
        <f t="shared" si="4"/>
        <v>1.061723384187391</v>
      </c>
      <c r="E21" s="6">
        <v>9</v>
      </c>
      <c r="F21" s="6">
        <f>+H20</f>
        <v>5.705078125</v>
      </c>
      <c r="G21" s="6">
        <f>+G20</f>
        <v>5.70703125</v>
      </c>
      <c r="H21" s="6">
        <f t="shared" si="0"/>
        <v>5.7060546875</v>
      </c>
      <c r="I21" s="6">
        <f t="shared" si="5"/>
        <v>2.5965574081250331E-3</v>
      </c>
      <c r="J21" s="6">
        <f t="shared" si="1"/>
        <v>-1.1885591072906543E-3</v>
      </c>
      <c r="K21" s="6">
        <f t="shared" si="2"/>
        <v>7.0410092313410999E-4</v>
      </c>
      <c r="L21" s="6" t="str">
        <f t="shared" si="6"/>
        <v>NO</v>
      </c>
      <c r="M21" t="str">
        <f t="shared" si="3"/>
        <v>a = 5,7060546875</v>
      </c>
    </row>
    <row r="22" spans="2:16">
      <c r="B22" s="6">
        <v>0</v>
      </c>
      <c r="C22" s="6">
        <f t="shared" si="4"/>
        <v>2</v>
      </c>
      <c r="E22" s="6">
        <v>10</v>
      </c>
      <c r="F22" s="6">
        <f t="shared" ref="F22" si="7">+H21</f>
        <v>5.7060546875</v>
      </c>
      <c r="G22" s="6">
        <f t="shared" ref="G22" si="8">+G21</f>
        <v>5.70703125</v>
      </c>
      <c r="H22" s="6">
        <f t="shared" ref="H22" si="9">(F22+G22)/2</f>
        <v>5.70654296875</v>
      </c>
      <c r="I22" s="6">
        <f t="shared" ref="I22" si="10">3*SIN(0.5*F22)-0.5*F22+2</f>
        <v>7.0410092313410999E-4</v>
      </c>
      <c r="J22" s="6">
        <f t="shared" ref="J22" si="11">3*SIN(0.5*G22)-0.5*G22+2</f>
        <v>-1.1885591072906543E-3</v>
      </c>
      <c r="K22" s="6">
        <f t="shared" ref="K22" si="12">3*SIN(0.5*H22)-0.5*H22+2</f>
        <v>-2.4220366982463659E-4</v>
      </c>
      <c r="L22" s="6" t="str">
        <f t="shared" ref="L22:L24" si="13">IF(ABS(K22)&lt;=0.0001, "SI","NO")</f>
        <v>NO</v>
      </c>
      <c r="M22" t="str">
        <f t="shared" ref="M22" si="14">IF(K22*J22&lt;0, "a = "&amp;H22, IF(K22*I22&lt;0, "b = "&amp;H22, "ERROR"))</f>
        <v>b = 5,70654296875</v>
      </c>
    </row>
    <row r="23" spans="2:16">
      <c r="B23" s="6">
        <v>1</v>
      </c>
      <c r="C23" s="6">
        <f t="shared" si="4"/>
        <v>2.938276615812609</v>
      </c>
      <c r="E23" s="6">
        <v>11</v>
      </c>
      <c r="F23" s="6">
        <f>+F22</f>
        <v>5.7060546875</v>
      </c>
      <c r="G23" s="6">
        <f>+H22</f>
        <v>5.70654296875</v>
      </c>
      <c r="H23" s="6">
        <f t="shared" ref="H23" si="15">(F23+G23)/2</f>
        <v>5.706298828125</v>
      </c>
      <c r="I23" s="6">
        <f t="shared" ref="I23" si="16">3*SIN(0.5*F23)-0.5*F23+2</f>
        <v>7.0410092313410999E-4</v>
      </c>
      <c r="J23" s="6">
        <f t="shared" ref="J23" si="17">3*SIN(0.5*G23)-0.5*G23+2</f>
        <v>-2.4220366982463659E-4</v>
      </c>
      <c r="K23" s="6">
        <f t="shared" ref="K23" si="18">3*SIN(0.5*H23)-0.5*H23+2</f>
        <v>2.3095498483405308E-4</v>
      </c>
      <c r="L23" s="6" t="str">
        <f t="shared" si="13"/>
        <v>NO</v>
      </c>
      <c r="M23" t="str">
        <f t="shared" ref="M23" si="19">IF(K23*J23&lt;0, "a = "&amp;H23, IF(K23*I23&lt;0, "b = "&amp;H23, "ERROR"))</f>
        <v>a = 5,706298828125</v>
      </c>
    </row>
    <row r="24" spans="2:16">
      <c r="B24" s="6">
        <v>2</v>
      </c>
      <c r="C24" s="6">
        <f t="shared" si="4"/>
        <v>3.5244129544236893</v>
      </c>
      <c r="E24" s="6">
        <v>12</v>
      </c>
      <c r="F24" s="6">
        <f>+H23</f>
        <v>5.706298828125</v>
      </c>
      <c r="G24" s="6">
        <f>+G23</f>
        <v>5.70654296875</v>
      </c>
      <c r="H24" s="2">
        <f t="shared" ref="H24" si="20">(F24+G24)/2</f>
        <v>5.7064208984375</v>
      </c>
      <c r="I24" s="6">
        <f t="shared" ref="I24" si="21">3*SIN(0.5*F24)-0.5*F24+2</f>
        <v>2.3095498483405308E-4</v>
      </c>
      <c r="J24" s="6">
        <f t="shared" ref="J24" si="22">3*SIN(0.5*G24)-0.5*G24+2</f>
        <v>-2.4220366982463659E-4</v>
      </c>
      <c r="K24" s="6">
        <f t="shared" ref="K24" si="23">3*SIN(0.5*H24)-0.5*H24+2</f>
        <v>-5.622753277645387E-6</v>
      </c>
      <c r="L24" s="6" t="str">
        <f t="shared" si="13"/>
        <v>SI</v>
      </c>
      <c r="M24" t="str">
        <f t="shared" ref="M24" si="24">IF(K24*J24&lt;0, "a = "&amp;H24, IF(K24*I24&lt;0, "b = "&amp;H24, "ERROR"))</f>
        <v>b = 5,7064208984375</v>
      </c>
    </row>
    <row r="25" spans="2:16">
      <c r="B25" s="6">
        <v>3</v>
      </c>
      <c r="C25" s="6">
        <f t="shared" si="4"/>
        <v>3.4924849598121632</v>
      </c>
    </row>
    <row r="26" spans="2:16">
      <c r="B26" s="6">
        <v>4</v>
      </c>
      <c r="C26" s="6">
        <f t="shared" si="4"/>
        <v>2.7278922804770449</v>
      </c>
    </row>
    <row r="27" spans="2:16">
      <c r="B27" s="12">
        <v>5</v>
      </c>
      <c r="C27" s="12">
        <f t="shared" si="4"/>
        <v>1.2954164323118698</v>
      </c>
    </row>
    <row r="28" spans="2:16">
      <c r="B28" s="12">
        <v>6</v>
      </c>
      <c r="C28" s="12">
        <f t="shared" si="4"/>
        <v>-0.57663997582039839</v>
      </c>
    </row>
    <row r="29" spans="2:16">
      <c r="B29" s="6">
        <v>7</v>
      </c>
      <c r="C29" s="6">
        <f t="shared" si="4"/>
        <v>-2.5523496830688597</v>
      </c>
    </row>
    <row r="30" spans="2:16">
      <c r="B30" s="6">
        <v>8</v>
      </c>
      <c r="C30" s="6">
        <f t="shared" si="4"/>
        <v>-4.2704074859237844</v>
      </c>
      <c r="O30" t="s">
        <v>58</v>
      </c>
    </row>
    <row r="31" spans="2:16">
      <c r="B31" s="6">
        <v>9</v>
      </c>
      <c r="C31" s="6">
        <f t="shared" si="4"/>
        <v>-5.432590352995291</v>
      </c>
      <c r="O31" t="s">
        <v>59</v>
      </c>
      <c r="P31" s="26">
        <v>5.7064180246352798</v>
      </c>
    </row>
    <row r="32" spans="2:16">
      <c r="B32" s="6">
        <v>10</v>
      </c>
      <c r="C32" s="6">
        <f t="shared" si="4"/>
        <v>-5.8767728239894153</v>
      </c>
    </row>
    <row r="33" spans="2:19">
      <c r="B33" s="6">
        <v>11</v>
      </c>
      <c r="C33" s="6">
        <f t="shared" si="4"/>
        <v>-5.6166209767111752</v>
      </c>
    </row>
    <row r="34" spans="2:19" ht="23.25">
      <c r="B34" s="6">
        <v>12</v>
      </c>
      <c r="C34" s="6">
        <f t="shared" si="4"/>
        <v>-4.8382464945967776</v>
      </c>
      <c r="O34" s="24" t="s">
        <v>47</v>
      </c>
      <c r="P34" s="24"/>
      <c r="Q34" s="24"/>
      <c r="R34" s="24"/>
      <c r="S34" s="24"/>
    </row>
    <row r="35" spans="2:19">
      <c r="B35" s="6">
        <v>13</v>
      </c>
      <c r="C35" s="6">
        <f t="shared" si="4"/>
        <v>-3.8546400357365531</v>
      </c>
      <c r="O35" s="22" t="s">
        <v>52</v>
      </c>
      <c r="P35" s="22" t="s">
        <v>48</v>
      </c>
      <c r="Q35" s="22" t="s">
        <v>50</v>
      </c>
      <c r="R35" s="22" t="s">
        <v>51</v>
      </c>
      <c r="S35" s="22" t="s">
        <v>55</v>
      </c>
    </row>
    <row r="36" spans="2:19">
      <c r="B36" s="6">
        <v>14</v>
      </c>
      <c r="C36" s="6">
        <f t="shared" si="4"/>
        <v>-3.0290402038436328</v>
      </c>
      <c r="O36" s="23" t="s">
        <v>49</v>
      </c>
      <c r="P36" s="6">
        <f>ABS($P$31-H24)</f>
        <v>2.8738022201935109E-6</v>
      </c>
      <c r="Q36" s="6">
        <f>P36/ABS($P$31)</f>
        <v>5.0360878011161598E-7</v>
      </c>
      <c r="R36" s="6">
        <f>Q36*100</f>
        <v>5.0360878011161598E-5</v>
      </c>
      <c r="S36" s="6">
        <f>COUNT(E12:E24)</f>
        <v>13</v>
      </c>
    </row>
    <row r="37" spans="2:19">
      <c r="B37" s="6">
        <v>15</v>
      </c>
      <c r="C37" s="6">
        <f t="shared" si="4"/>
        <v>-2.6860000696757833</v>
      </c>
      <c r="O37" s="23" t="s">
        <v>54</v>
      </c>
      <c r="P37" s="6">
        <f>ABS($P$31-H62)</f>
        <v>2.6119328921936358E-8</v>
      </c>
      <c r="Q37" s="6">
        <f t="shared" ref="Q37:Q38" si="25">P37/ABS($P$31)</f>
        <v>4.577184638275032E-9</v>
      </c>
      <c r="R37" s="6">
        <f t="shared" ref="R37:R38" si="26">Q37*100</f>
        <v>4.5771846382750321E-7</v>
      </c>
      <c r="S37" s="6">
        <f>COUNT(G59:G62)</f>
        <v>4</v>
      </c>
    </row>
    <row r="38" spans="2:19">
      <c r="B38" s="6">
        <v>16</v>
      </c>
      <c r="C38" s="6">
        <f t="shared" si="4"/>
        <v>-3.0319252601298547</v>
      </c>
      <c r="O38" s="23" t="s">
        <v>53</v>
      </c>
      <c r="P38" s="6">
        <f>ABS($P$31-H77)</f>
        <v>1.2807549776283622E-7</v>
      </c>
      <c r="Q38" s="6">
        <f t="shared" si="25"/>
        <v>2.2444114190358855E-8</v>
      </c>
      <c r="R38" s="6">
        <f t="shared" si="26"/>
        <v>2.2444114190358855E-6</v>
      </c>
      <c r="S38" s="6">
        <v>5</v>
      </c>
    </row>
    <row r="39" spans="2:19">
      <c r="B39" s="6">
        <v>17</v>
      </c>
      <c r="C39" s="6">
        <f t="shared" si="4"/>
        <v>-4.1045386621295297</v>
      </c>
    </row>
    <row r="40" spans="2:19">
      <c r="B40" s="6">
        <v>18</v>
      </c>
      <c r="C40" s="6">
        <f t="shared" si="4"/>
        <v>-5.7636445442747304</v>
      </c>
    </row>
    <row r="41" spans="2:19">
      <c r="B41" s="6">
        <v>19</v>
      </c>
      <c r="C41" s="6">
        <f t="shared" si="4"/>
        <v>-7.7254533613854282</v>
      </c>
    </row>
    <row r="42" spans="2:19">
      <c r="B42" s="6">
        <v>20</v>
      </c>
      <c r="C42" s="6">
        <f t="shared" si="4"/>
        <v>-9.6320633326681087</v>
      </c>
    </row>
    <row r="43" spans="2:19">
      <c r="B43" s="6">
        <v>21</v>
      </c>
      <c r="C43" s="6">
        <f t="shared" si="4"/>
        <v>-11.13908727991501</v>
      </c>
    </row>
    <row r="44" spans="2:19">
      <c r="B44" s="6">
        <v>22</v>
      </c>
      <c r="C44" s="6">
        <f t="shared" si="4"/>
        <v>-11.99997061965211</v>
      </c>
    </row>
    <row r="45" spans="2:19">
      <c r="B45" s="6">
        <v>23</v>
      </c>
      <c r="C45" s="6">
        <f t="shared" si="4"/>
        <v>-12.126356524065287</v>
      </c>
    </row>
    <row r="46" spans="2:19">
      <c r="B46" s="6">
        <v>24</v>
      </c>
      <c r="C46" s="6">
        <f t="shared" si="4"/>
        <v>-11.609718754001305</v>
      </c>
    </row>
    <row r="47" spans="2:19">
      <c r="B47" s="6">
        <v>25</v>
      </c>
      <c r="C47" s="6">
        <f t="shared" si="4"/>
        <v>-10.698965692053601</v>
      </c>
    </row>
    <row r="56" spans="1:17" ht="28.5">
      <c r="A56" s="1" t="s">
        <v>30</v>
      </c>
    </row>
    <row r="58" spans="1:17">
      <c r="A58" s="2" t="s">
        <v>4</v>
      </c>
      <c r="B58" t="s">
        <v>22</v>
      </c>
      <c r="D58" s="3" t="s">
        <v>2</v>
      </c>
      <c r="E58" s="4">
        <v>1E-4</v>
      </c>
      <c r="G58" s="18" t="s">
        <v>7</v>
      </c>
      <c r="H58" s="18" t="s">
        <v>20</v>
      </c>
      <c r="I58" s="18" t="s">
        <v>32</v>
      </c>
      <c r="J58" s="18" t="s">
        <v>33</v>
      </c>
      <c r="K58" s="18" t="s">
        <v>2</v>
      </c>
      <c r="M58" s="18" t="s">
        <v>7</v>
      </c>
      <c r="N58" s="18" t="s">
        <v>20</v>
      </c>
      <c r="O58" s="18" t="s">
        <v>32</v>
      </c>
      <c r="P58" s="18" t="s">
        <v>33</v>
      </c>
      <c r="Q58" s="18" t="s">
        <v>2</v>
      </c>
    </row>
    <row r="59" spans="1:17">
      <c r="G59" s="6">
        <v>0</v>
      </c>
      <c r="H59" s="6">
        <v>5</v>
      </c>
      <c r="I59" s="6">
        <f>3*SIN(0.5*H59)-0.5*H59+2</f>
        <v>1.2954164323118698</v>
      </c>
      <c r="J59" s="6">
        <f>1.5*COS(0.5*H59)-0.5</f>
        <v>-1.7017154233204006</v>
      </c>
      <c r="K59" s="4">
        <v>1E-4</v>
      </c>
      <c r="M59" s="6">
        <v>0</v>
      </c>
      <c r="N59" s="6">
        <v>5.5</v>
      </c>
      <c r="O59" s="6">
        <f>3*SIN(0.5*N59)-0.5*N59+2</f>
        <v>0.39498297615699496</v>
      </c>
      <c r="P59" s="6">
        <f>1.5*COS(0.5*N59)-0.5</f>
        <v>-1.8864535679486953</v>
      </c>
      <c r="Q59" s="6">
        <v>1E-4</v>
      </c>
    </row>
    <row r="60" spans="1:17">
      <c r="A60" s="2" t="s">
        <v>3</v>
      </c>
      <c r="B60" t="s">
        <v>22</v>
      </c>
      <c r="D60" s="17" t="s">
        <v>31</v>
      </c>
      <c r="G60" s="6">
        <v>1</v>
      </c>
      <c r="H60" s="6">
        <f>H59-(I59/J59)</f>
        <v>5.7612415181524552</v>
      </c>
      <c r="I60" s="6">
        <f>3*SIN(0.5*H60)-0.5*H60+2</f>
        <v>-0.1065617807394954</v>
      </c>
      <c r="J60" s="6">
        <f>1.5*COS(0.5*H60)-0.5</f>
        <v>-1.9492094998702132</v>
      </c>
      <c r="K60" s="6" t="str">
        <f>IF(ABS(I60)&lt;=0.0001, "SI","NO")</f>
        <v>NO</v>
      </c>
      <c r="M60" s="6">
        <v>1</v>
      </c>
      <c r="N60" s="6">
        <f>N59-(O59/P59)</f>
        <v>5.7093785836385544</v>
      </c>
      <c r="O60" s="6">
        <f>3*SIN(0.5*N60)-0.5*N60+2</f>
        <v>-5.7387191946283167E-3</v>
      </c>
      <c r="P60" s="6">
        <f>1.5*COS(0.5*N60)-0.5</f>
        <v>-1.9386871554685092</v>
      </c>
      <c r="Q60" s="6" t="str">
        <f>IF(ABS(O60)&lt;=0.0001, "SI","NO")</f>
        <v>NO</v>
      </c>
    </row>
    <row r="61" spans="1:17">
      <c r="G61" s="6">
        <v>2</v>
      </c>
      <c r="H61" s="6">
        <f>H60-(I60/J60)</f>
        <v>5.7065722890385038</v>
      </c>
      <c r="I61" s="6">
        <f>3*SIN(0.5*H61)-0.5*H61+2</f>
        <v>-2.9902894015521042E-4</v>
      </c>
      <c r="J61" s="6">
        <f>1.5*COS(0.5*H61)-0.5</f>
        <v>-1.9380901380525537</v>
      </c>
      <c r="K61" s="6" t="str">
        <f>IF(ABS(I61)&lt;=0.0001, "SI","NO")</f>
        <v>NO</v>
      </c>
      <c r="M61" s="6">
        <v>2</v>
      </c>
      <c r="N61" s="2">
        <f>N60-(O60/P60)</f>
        <v>5.7064184777862819</v>
      </c>
      <c r="O61" s="6">
        <f>3*SIN(0.5*N61)-0.5*N61+2</f>
        <v>-9.313918063469373E-7</v>
      </c>
      <c r="P61" s="6">
        <f>1.5*COS(0.5*N61)-0.5</f>
        <v>-1.9380573340457177</v>
      </c>
      <c r="Q61" s="6" t="str">
        <f>IF(ABS(O61)&lt;=0.0001, "SI","NO")</f>
        <v>SI</v>
      </c>
    </row>
    <row r="62" spans="1:17">
      <c r="A62" s="2" t="s">
        <v>39</v>
      </c>
      <c r="B62" t="s">
        <v>40</v>
      </c>
      <c r="G62" s="6">
        <v>3</v>
      </c>
      <c r="H62" s="2">
        <f>H61-(I61/J61)</f>
        <v>5.7064179985159509</v>
      </c>
      <c r="I62" s="6">
        <f>3*SIN(0.5*H62)-0.5*H62+2</f>
        <v>-2.5384503388181656E-9</v>
      </c>
      <c r="J62" s="6">
        <f>1.5*COS(0.5*H62)-0.5</f>
        <v>-1.9380572318163194</v>
      </c>
      <c r="K62" s="6" t="str">
        <f>IF(ABS(I62)&lt;=0.0001, "SI","NO")</f>
        <v>SI</v>
      </c>
      <c r="N62" t="s">
        <v>29</v>
      </c>
    </row>
    <row r="63" spans="1:17">
      <c r="H63" t="s">
        <v>29</v>
      </c>
    </row>
    <row r="70" spans="1:16" ht="28.5">
      <c r="A70" s="1" t="s">
        <v>35</v>
      </c>
    </row>
    <row r="72" spans="1:16">
      <c r="A72" s="2" t="s">
        <v>4</v>
      </c>
      <c r="B72" t="s">
        <v>22</v>
      </c>
      <c r="D72" s="3" t="s">
        <v>2</v>
      </c>
      <c r="E72" s="4">
        <v>1E-4</v>
      </c>
      <c r="G72" s="19" t="s">
        <v>7</v>
      </c>
      <c r="H72" s="19" t="s">
        <v>20</v>
      </c>
      <c r="I72" s="19" t="s">
        <v>32</v>
      </c>
      <c r="J72" s="19" t="s">
        <v>2</v>
      </c>
      <c r="M72" s="19" t="s">
        <v>7</v>
      </c>
      <c r="N72" s="19" t="s">
        <v>20</v>
      </c>
      <c r="O72" s="19" t="s">
        <v>32</v>
      </c>
      <c r="P72" s="19" t="s">
        <v>2</v>
      </c>
    </row>
    <row r="73" spans="1:16">
      <c r="G73" s="6">
        <v>0</v>
      </c>
      <c r="H73" s="6">
        <v>5</v>
      </c>
      <c r="I73" s="6">
        <f>3*SIN(0.5*H73)-0.5*H73+2</f>
        <v>1.2954164323118698</v>
      </c>
      <c r="J73" s="4">
        <v>1E-4</v>
      </c>
      <c r="M73" s="6">
        <v>0</v>
      </c>
      <c r="N73" s="6">
        <v>5.5</v>
      </c>
      <c r="O73" s="6">
        <f>3*SIN(0.5*N73)-0.5*N73+2</f>
        <v>0.39498297615699496</v>
      </c>
      <c r="P73" s="4">
        <v>1E-4</v>
      </c>
    </row>
    <row r="74" spans="1:16">
      <c r="A74" s="2" t="s">
        <v>3</v>
      </c>
      <c r="B74" t="s">
        <v>22</v>
      </c>
      <c r="D74" s="17" t="s">
        <v>31</v>
      </c>
      <c r="G74" s="6">
        <v>1</v>
      </c>
      <c r="H74" s="6">
        <v>6</v>
      </c>
      <c r="I74" s="6">
        <f>3*SIN(0.5*H74)-0.5*H74+2</f>
        <v>-0.57663997582039839</v>
      </c>
      <c r="J74" s="6" t="str">
        <f>IF(ABS(I74)&lt;=0.0001, "SI","NO")</f>
        <v>NO</v>
      </c>
      <c r="M74" s="6">
        <v>1</v>
      </c>
      <c r="N74" s="6">
        <v>6</v>
      </c>
      <c r="O74" s="6">
        <f>3*SIN(0.5*N74)-0.5*N74+2</f>
        <v>-0.57663997582039839</v>
      </c>
      <c r="P74" s="6" t="str">
        <f>IF(ABS(O74)&lt;=0.0001, "SI","NO")</f>
        <v>NO</v>
      </c>
    </row>
    <row r="75" spans="1:16">
      <c r="G75" s="6">
        <v>2</v>
      </c>
      <c r="H75" s="6">
        <f>H74-(I74*(H73-H74)/(I73-I74))</f>
        <v>5.6919751064575523</v>
      </c>
      <c r="I75" s="6">
        <f>3*SIN(0.5*H75)-0.5*H75+2</f>
        <v>2.7968721321341095E-2</v>
      </c>
      <c r="J75" s="6" t="str">
        <f>IF(ABS(I75)&lt;=0.0001, "SI","NO")</f>
        <v>NO</v>
      </c>
      <c r="M75" s="6">
        <v>2</v>
      </c>
      <c r="N75" s="6">
        <f>N74-(O74*(N73-N74)/(O73-O74))</f>
        <v>5.7032593895364183</v>
      </c>
      <c r="O75" s="6">
        <f>3*SIN(0.5*N75)-0.5*N75+2</f>
        <v>6.1204965107346521E-3</v>
      </c>
      <c r="P75" s="6" t="str">
        <f>IF(ABS(O75)&lt;=0.0001, "SI","NO")</f>
        <v>NO</v>
      </c>
    </row>
    <row r="76" spans="1:16">
      <c r="G76" s="6">
        <v>3</v>
      </c>
      <c r="H76" s="6">
        <f>H75-(I75*(H74-H75)/(I74-I75))</f>
        <v>5.7062240950153615</v>
      </c>
      <c r="I76" s="6">
        <f>3*SIN(0.5*H76)-0.5*H76+2</f>
        <v>3.7578953277472849E-4</v>
      </c>
      <c r="J76" s="6" t="str">
        <f>IF(ABS(I76)&lt;=0.0001, "SI","NO")</f>
        <v>NO</v>
      </c>
      <c r="M76" s="6">
        <v>3</v>
      </c>
      <c r="N76" s="2">
        <f>N75-(O75*(N74-N75)/(O74-O75))</f>
        <v>5.7063759356255357</v>
      </c>
      <c r="O76" s="6">
        <f>3*SIN(0.5*N76)-0.5*N76+2</f>
        <v>8.151756180874159E-5</v>
      </c>
      <c r="P76" s="6" t="str">
        <f>IF(ABS(O76)&lt;=0.0001, "SI","NO")</f>
        <v>SI</v>
      </c>
    </row>
    <row r="77" spans="1:16">
      <c r="G77" s="6">
        <v>4</v>
      </c>
      <c r="H77" s="2">
        <f>H76-(I76*(H75-H76)/(I75-I76))</f>
        <v>5.7064181527107776</v>
      </c>
      <c r="I77" s="6">
        <f>3*SIN(0.5*H77)-0.5*H77+2</f>
        <v>-3.0137685236297784E-7</v>
      </c>
      <c r="J77" s="6" t="str">
        <f>IF(ABS(I77)&lt;=0.0001, "SI","NO")</f>
        <v>SI</v>
      </c>
    </row>
    <row r="78" spans="1:16">
      <c r="H78" t="s">
        <v>29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A6C72-2D60-4081-BF6B-7A201517E4CB}">
  <dimension ref="A1:AP90"/>
  <sheetViews>
    <sheetView topLeftCell="J29" zoomScale="70" zoomScaleNormal="70" workbookViewId="0">
      <selection activeCell="AC36" sqref="AC36"/>
    </sheetView>
  </sheetViews>
  <sheetFormatPr baseColWidth="10" defaultRowHeight="15"/>
  <cols>
    <col min="29" max="30" width="14.85546875" bestFit="1" customWidth="1"/>
    <col min="34" max="35" width="14.85546875" bestFit="1" customWidth="1"/>
    <col min="39" max="40" width="14.85546875" bestFit="1" customWidth="1"/>
  </cols>
  <sheetData>
    <row r="1" spans="1:24">
      <c r="A1" t="s">
        <v>1</v>
      </c>
    </row>
    <row r="3" spans="1:24" ht="28.5">
      <c r="A3" s="1" t="s">
        <v>0</v>
      </c>
    </row>
    <row r="5" spans="1:24" ht="18.75">
      <c r="Q5" s="7" t="s">
        <v>57</v>
      </c>
      <c r="X5" s="15" t="s">
        <v>43</v>
      </c>
    </row>
    <row r="6" spans="1:24">
      <c r="A6" s="2" t="s">
        <v>4</v>
      </c>
      <c r="B6" t="s">
        <v>23</v>
      </c>
      <c r="D6" s="3" t="s">
        <v>2</v>
      </c>
      <c r="E6" s="4">
        <v>1E-4</v>
      </c>
    </row>
    <row r="8" spans="1:24">
      <c r="A8" s="2" t="s">
        <v>3</v>
      </c>
      <c r="B8" t="s">
        <v>24</v>
      </c>
    </row>
    <row r="11" spans="1:24"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2</v>
      </c>
    </row>
    <row r="12" spans="1:24">
      <c r="E12" s="6">
        <v>0</v>
      </c>
      <c r="F12" s="6">
        <f>-2</f>
        <v>-2</v>
      </c>
      <c r="G12" s="6">
        <f>-1</f>
        <v>-1</v>
      </c>
      <c r="H12" s="6">
        <f t="shared" ref="H12:H26" si="0">(F12+G12)/2</f>
        <v>-1.5</v>
      </c>
      <c r="I12" s="6">
        <f>(H59^3)-(H59^2)*EXP(-0.5*H59)-3*H59+1</f>
        <v>-11.873127313836179</v>
      </c>
      <c r="J12" s="6">
        <f t="shared" ref="J12:K12" si="1">(G12^3)-(G12^2)*EXP(-0.5*G12)-3*G12+1</f>
        <v>1.3512787292998718</v>
      </c>
      <c r="K12" s="6">
        <f t="shared" si="1"/>
        <v>-2.6382500373785192</v>
      </c>
      <c r="L12" s="4">
        <v>1E-4</v>
      </c>
      <c r="M12" t="str">
        <f t="shared" ref="M12:M26" si="2">IF(K12*J12&lt;0, "a = "&amp;H12, IF(K12*I12&lt;0, "b = "&amp;H12, "ERROR"))</f>
        <v>a = -1,5</v>
      </c>
    </row>
    <row r="13" spans="1:24">
      <c r="E13" s="6">
        <v>1</v>
      </c>
      <c r="F13" s="6">
        <f>+H12</f>
        <v>-1.5</v>
      </c>
      <c r="G13" s="6">
        <f>+G12</f>
        <v>-1</v>
      </c>
      <c r="H13" s="6">
        <f t="shared" si="0"/>
        <v>-1.25</v>
      </c>
      <c r="I13" s="6">
        <f t="shared" ref="I13:I26" si="3">(F13^3)-(F13^2)*EXP(-0.5*F13)-3*F13+1</f>
        <v>-2.6382500373785192</v>
      </c>
      <c r="J13" s="6">
        <f t="shared" ref="J13" si="4">(G13^3)-(G13^2)*EXP(-0.5*G13)-3*G13+1</f>
        <v>1.3512787292998718</v>
      </c>
      <c r="K13" s="6">
        <f t="shared" ref="K13" si="5">(H13^3)-(H13^2)*EXP(-0.5*H13)-3*H13+1</f>
        <v>-0.12225930848784738</v>
      </c>
      <c r="L13" s="6" t="str">
        <f t="shared" ref="L13:L26" si="6">IF(ABS(K13)&lt;=0.0001, "SI","NO")</f>
        <v>NO</v>
      </c>
      <c r="M13" t="str">
        <f t="shared" si="2"/>
        <v>a = -1,25</v>
      </c>
    </row>
    <row r="14" spans="1:24">
      <c r="E14" s="6">
        <v>2</v>
      </c>
      <c r="F14" s="6">
        <f>+H13</f>
        <v>-1.25</v>
      </c>
      <c r="G14" s="6">
        <f>+G13</f>
        <v>-1</v>
      </c>
      <c r="H14" s="6">
        <f t="shared" si="0"/>
        <v>-1.125</v>
      </c>
      <c r="I14" s="6">
        <f t="shared" si="3"/>
        <v>-0.12225930848784738</v>
      </c>
      <c r="J14" s="6">
        <f t="shared" ref="J14" si="7">(G14^3)-(G14^2)*EXP(-0.5*G14)-3*G14+1</f>
        <v>1.3512787292998718</v>
      </c>
      <c r="K14" s="6">
        <f t="shared" ref="K14" si="8">(H14^3)-(H14^2)*EXP(-0.5*H14)-3*H14+1</f>
        <v>0.72993082478462235</v>
      </c>
      <c r="L14" s="6" t="str">
        <f t="shared" si="6"/>
        <v>NO</v>
      </c>
      <c r="M14" t="str">
        <f t="shared" si="2"/>
        <v>b = -1,125</v>
      </c>
    </row>
    <row r="15" spans="1:24">
      <c r="E15" s="6">
        <v>3</v>
      </c>
      <c r="F15" s="6">
        <f>+F14</f>
        <v>-1.25</v>
      </c>
      <c r="G15" s="6">
        <f>+H14</f>
        <v>-1.125</v>
      </c>
      <c r="H15" s="6">
        <f t="shared" si="0"/>
        <v>-1.1875</v>
      </c>
      <c r="I15" s="6">
        <f t="shared" si="3"/>
        <v>-0.12225930848784738</v>
      </c>
      <c r="J15" s="6">
        <f t="shared" ref="J15" si="9">(G15^3)-(G15^2)*EXP(-0.5*G15)-3*G15+1</f>
        <v>0.72993082478462235</v>
      </c>
      <c r="K15" s="6">
        <f t="shared" ref="K15" si="10">(H15^3)-(H15^2)*EXP(-0.5*H15)-3*H15+1</f>
        <v>0.33447635923789498</v>
      </c>
      <c r="L15" s="6" t="str">
        <f t="shared" si="6"/>
        <v>NO</v>
      </c>
      <c r="M15" t="str">
        <f t="shared" si="2"/>
        <v>b = -1,1875</v>
      </c>
    </row>
    <row r="16" spans="1:24">
      <c r="B16" s="8" t="s">
        <v>20</v>
      </c>
      <c r="C16" s="8" t="s">
        <v>21</v>
      </c>
      <c r="E16" s="6">
        <v>4</v>
      </c>
      <c r="F16" s="6">
        <f>+F15</f>
        <v>-1.25</v>
      </c>
      <c r="G16" s="6">
        <f>+H15</f>
        <v>-1.1875</v>
      </c>
      <c r="H16" s="6">
        <f t="shared" si="0"/>
        <v>-1.21875</v>
      </c>
      <c r="I16" s="6">
        <f t="shared" si="3"/>
        <v>-0.12225930848784738</v>
      </c>
      <c r="J16" s="6">
        <f t="shared" ref="J16" si="11">(G16^3)-(G16^2)*EXP(-0.5*G16)-3*G16+1</f>
        <v>0.33447635923789498</v>
      </c>
      <c r="K16" s="6">
        <f t="shared" ref="K16" si="12">(H16^3)-(H16^2)*EXP(-0.5*H16)-3*H16+1</f>
        <v>0.11399815032026517</v>
      </c>
      <c r="L16" s="6" t="str">
        <f t="shared" si="6"/>
        <v>NO</v>
      </c>
      <c r="M16" t="str">
        <f t="shared" si="2"/>
        <v>b = -1,21875</v>
      </c>
    </row>
    <row r="17" spans="2:29">
      <c r="B17" s="6">
        <v>-5</v>
      </c>
      <c r="C17" s="6">
        <f t="shared" ref="C17:C27" si="13">(B17^3)-(B17^2)*EXP(-0.5*B17)-3*B17+1</f>
        <v>-413.56234901758683</v>
      </c>
      <c r="E17" s="6">
        <v>5</v>
      </c>
      <c r="F17" s="6">
        <f>+F16</f>
        <v>-1.25</v>
      </c>
      <c r="G17" s="6">
        <f>+H16</f>
        <v>-1.21875</v>
      </c>
      <c r="H17" s="6">
        <f t="shared" si="0"/>
        <v>-1.234375</v>
      </c>
      <c r="I17" s="6">
        <f t="shared" si="3"/>
        <v>-0.12225930848784738</v>
      </c>
      <c r="J17" s="6">
        <f t="shared" ref="J17" si="14">(G17^3)-(G17^2)*EXP(-0.5*G17)-3*G17+1</f>
        <v>0.11399815032026517</v>
      </c>
      <c r="K17" s="6">
        <f t="shared" ref="K17" si="15">(H17^3)-(H17^2)*EXP(-0.5*H17)-3*H17+1</f>
        <v>-2.1290798148916323E-3</v>
      </c>
      <c r="L17" s="6" t="str">
        <f t="shared" si="6"/>
        <v>NO</v>
      </c>
      <c r="M17" t="str">
        <f t="shared" si="2"/>
        <v>a = -1,234375</v>
      </c>
    </row>
    <row r="18" spans="2:29">
      <c r="B18" s="6">
        <v>-4</v>
      </c>
      <c r="C18" s="6">
        <f t="shared" si="13"/>
        <v>-169.22489758289041</v>
      </c>
      <c r="E18" s="6">
        <v>6</v>
      </c>
      <c r="F18" s="6">
        <f>+H17</f>
        <v>-1.234375</v>
      </c>
      <c r="G18" s="6">
        <f>+G17</f>
        <v>-1.21875</v>
      </c>
      <c r="H18" s="6">
        <f t="shared" si="0"/>
        <v>-1.2265625</v>
      </c>
      <c r="I18" s="6">
        <f t="shared" si="3"/>
        <v>-2.1290798148916323E-3</v>
      </c>
      <c r="J18" s="6">
        <f t="shared" ref="J18" si="16">(G18^3)-(G18^2)*EXP(-0.5*G18)-3*G18+1</f>
        <v>0.11399815032026517</v>
      </c>
      <c r="K18" s="6">
        <f t="shared" ref="K18" si="17">(H18^3)-(H18^2)*EXP(-0.5*H18)-3*H18+1</f>
        <v>5.6431254909981021E-2</v>
      </c>
      <c r="L18" s="6" t="str">
        <f t="shared" si="6"/>
        <v>NO</v>
      </c>
      <c r="M18" t="str">
        <f t="shared" si="2"/>
        <v>b = -1,2265625</v>
      </c>
    </row>
    <row r="19" spans="2:29">
      <c r="B19" s="6">
        <v>-3</v>
      </c>
      <c r="C19" s="6">
        <f t="shared" si="13"/>
        <v>-57.335201633042573</v>
      </c>
      <c r="E19" s="6">
        <v>7</v>
      </c>
      <c r="F19" s="6">
        <f>+F18</f>
        <v>-1.234375</v>
      </c>
      <c r="G19" s="6">
        <f>+H18</f>
        <v>-1.2265625</v>
      </c>
      <c r="H19" s="6">
        <f t="shared" si="0"/>
        <v>-1.23046875</v>
      </c>
      <c r="I19" s="6">
        <f t="shared" si="3"/>
        <v>-2.1290798148916323E-3</v>
      </c>
      <c r="J19" s="6">
        <f t="shared" ref="J19" si="18">(G19^3)-(G19^2)*EXP(-0.5*G19)-3*G19+1</f>
        <v>5.6431254909981021E-2</v>
      </c>
      <c r="K19" s="6">
        <f t="shared" ref="K19" si="19">(H19^3)-(H19^2)*EXP(-0.5*H19)-3*H19+1</f>
        <v>2.7275723191040768E-2</v>
      </c>
      <c r="L19" s="6" t="str">
        <f t="shared" si="6"/>
        <v>NO</v>
      </c>
      <c r="M19" t="str">
        <f t="shared" si="2"/>
        <v>b = -1,23046875</v>
      </c>
    </row>
    <row r="20" spans="2:29">
      <c r="B20" s="12">
        <v>-2</v>
      </c>
      <c r="C20" s="12">
        <f t="shared" si="13"/>
        <v>-11.873127313836179</v>
      </c>
      <c r="E20" s="6">
        <v>8</v>
      </c>
      <c r="F20" s="6">
        <f>+F19</f>
        <v>-1.234375</v>
      </c>
      <c r="G20" s="6">
        <f>+H19</f>
        <v>-1.23046875</v>
      </c>
      <c r="H20" s="6">
        <f t="shared" si="0"/>
        <v>-1.232421875</v>
      </c>
      <c r="I20" s="6">
        <f t="shared" si="3"/>
        <v>-2.1290798148916323E-3</v>
      </c>
      <c r="J20" s="6">
        <f t="shared" ref="J20:J25" si="20">(G20^3)-(G20^2)*EXP(-0.5*G20)-3*G20+1</f>
        <v>2.7275723191040768E-2</v>
      </c>
      <c r="K20" s="6">
        <f t="shared" ref="K20:K25" si="21">(H20^3)-(H20^2)*EXP(-0.5*H20)-3*H20+1</f>
        <v>1.2604537666828897E-2</v>
      </c>
      <c r="L20" s="6" t="str">
        <f t="shared" si="6"/>
        <v>NO</v>
      </c>
      <c r="M20" t="str">
        <f t="shared" si="2"/>
        <v>b = -1,232421875</v>
      </c>
    </row>
    <row r="21" spans="2:29">
      <c r="B21" s="12">
        <v>-1</v>
      </c>
      <c r="C21" s="12">
        <f t="shared" si="13"/>
        <v>1.3512787292998718</v>
      </c>
      <c r="E21" s="6">
        <v>9</v>
      </c>
      <c r="F21" s="6">
        <f>+F20</f>
        <v>-1.234375</v>
      </c>
      <c r="G21" s="6">
        <f>+H20</f>
        <v>-1.232421875</v>
      </c>
      <c r="H21" s="6">
        <f t="shared" si="0"/>
        <v>-1.2333984375</v>
      </c>
      <c r="I21" s="6">
        <f t="shared" si="3"/>
        <v>-2.1290798148916323E-3</v>
      </c>
      <c r="J21" s="6">
        <f t="shared" si="20"/>
        <v>1.2604537666828897E-2</v>
      </c>
      <c r="K21" s="6">
        <f t="shared" si="21"/>
        <v>5.2455400605149194E-3</v>
      </c>
      <c r="L21" s="6" t="str">
        <f t="shared" si="6"/>
        <v>NO</v>
      </c>
      <c r="M21" t="str">
        <f t="shared" si="2"/>
        <v>b = -1,2333984375</v>
      </c>
    </row>
    <row r="22" spans="2:29">
      <c r="B22" s="13">
        <v>0</v>
      </c>
      <c r="C22" s="13">
        <f t="shared" si="13"/>
        <v>1</v>
      </c>
      <c r="E22" s="6">
        <v>10</v>
      </c>
      <c r="F22" s="6">
        <f>+F21</f>
        <v>-1.234375</v>
      </c>
      <c r="G22" s="6">
        <f>+H21</f>
        <v>-1.2333984375</v>
      </c>
      <c r="H22" s="6">
        <f t="shared" si="0"/>
        <v>-1.23388671875</v>
      </c>
      <c r="I22" s="6">
        <f t="shared" si="3"/>
        <v>-2.1290798148916323E-3</v>
      </c>
      <c r="J22" s="6">
        <f t="shared" si="20"/>
        <v>5.2455400605149194E-3</v>
      </c>
      <c r="K22" s="6">
        <f t="shared" si="21"/>
        <v>1.5601837993290957E-3</v>
      </c>
      <c r="L22" s="6" t="str">
        <f t="shared" si="6"/>
        <v>NO</v>
      </c>
      <c r="M22" t="str">
        <f t="shared" si="2"/>
        <v>b = -1,23388671875</v>
      </c>
    </row>
    <row r="23" spans="2:29">
      <c r="B23" s="13">
        <v>1</v>
      </c>
      <c r="C23" s="13">
        <f t="shared" si="13"/>
        <v>-1.6065306597126332</v>
      </c>
      <c r="E23" s="6">
        <v>11</v>
      </c>
      <c r="F23" s="6">
        <f>+F22</f>
        <v>-1.234375</v>
      </c>
      <c r="G23" s="6">
        <f>+H22</f>
        <v>-1.23388671875</v>
      </c>
      <c r="H23" s="6">
        <f t="shared" si="0"/>
        <v>-1.234130859375</v>
      </c>
      <c r="I23" s="6">
        <f t="shared" si="3"/>
        <v>-2.1290798148916323E-3</v>
      </c>
      <c r="J23" s="6">
        <f t="shared" si="20"/>
        <v>1.5601837993290957E-3</v>
      </c>
      <c r="K23" s="6">
        <f t="shared" si="21"/>
        <v>-2.8395947701653768E-4</v>
      </c>
      <c r="L23" s="6" t="str">
        <f t="shared" si="6"/>
        <v>NO</v>
      </c>
      <c r="M23" t="str">
        <f t="shared" si="2"/>
        <v>a = -1,234130859375</v>
      </c>
    </row>
    <row r="24" spans="2:29">
      <c r="B24" s="14">
        <v>2</v>
      </c>
      <c r="C24" s="14">
        <f t="shared" si="13"/>
        <v>1.5284822353142307</v>
      </c>
      <c r="E24" s="6">
        <v>12</v>
      </c>
      <c r="F24" s="6">
        <f>+H23</f>
        <v>-1.234130859375</v>
      </c>
      <c r="G24" s="6">
        <f>+G23</f>
        <v>-1.23388671875</v>
      </c>
      <c r="H24" s="6">
        <f t="shared" si="0"/>
        <v>-1.2340087890625</v>
      </c>
      <c r="I24" s="6">
        <f t="shared" si="3"/>
        <v>-2.8395947701653768E-4</v>
      </c>
      <c r="J24" s="6">
        <f t="shared" si="20"/>
        <v>1.5601837993290957E-3</v>
      </c>
      <c r="K24" s="6">
        <f t="shared" si="21"/>
        <v>6.3823427989184722E-4</v>
      </c>
      <c r="L24" s="6" t="str">
        <f t="shared" si="6"/>
        <v>NO</v>
      </c>
      <c r="M24" t="str">
        <f t="shared" si="2"/>
        <v>b = -1,2340087890625</v>
      </c>
    </row>
    <row r="25" spans="2:29">
      <c r="B25" s="6">
        <v>3</v>
      </c>
      <c r="C25" s="6">
        <f t="shared" si="13"/>
        <v>16.991828558664132</v>
      </c>
      <c r="E25" s="6">
        <v>13</v>
      </c>
      <c r="F25" s="6">
        <f>+F24</f>
        <v>-1.234130859375</v>
      </c>
      <c r="G25" s="6">
        <f>+H24</f>
        <v>-1.2340087890625</v>
      </c>
      <c r="H25" s="6">
        <f t="shared" si="0"/>
        <v>-1.23406982421875</v>
      </c>
      <c r="I25" s="6">
        <f t="shared" si="3"/>
        <v>-2.8395947701653768E-4</v>
      </c>
      <c r="J25" s="6">
        <f t="shared" si="20"/>
        <v>6.3823427989184722E-4</v>
      </c>
      <c r="K25" s="6">
        <f t="shared" si="21"/>
        <v>1.771679328657072E-4</v>
      </c>
      <c r="L25" s="6" t="str">
        <f t="shared" si="6"/>
        <v>NO</v>
      </c>
      <c r="M25" t="str">
        <f t="shared" si="2"/>
        <v>b = -1,23406982421875</v>
      </c>
    </row>
    <row r="26" spans="2:29">
      <c r="B26" s="6">
        <v>4</v>
      </c>
      <c r="C26" s="6">
        <f t="shared" si="13"/>
        <v>50.834635468214195</v>
      </c>
      <c r="E26" s="6">
        <v>14</v>
      </c>
      <c r="F26" s="6">
        <f>+F25</f>
        <v>-1.234130859375</v>
      </c>
      <c r="G26" s="6">
        <f>+H25</f>
        <v>-1.23406982421875</v>
      </c>
      <c r="H26" s="2">
        <f t="shared" si="0"/>
        <v>-1.234100341796875</v>
      </c>
      <c r="I26" s="6">
        <f t="shared" si="3"/>
        <v>-2.8395947701653768E-4</v>
      </c>
      <c r="J26" s="6">
        <f t="shared" ref="J26" si="22">(G26^3)-(G26^2)*EXP(-0.5*G26)-3*G26+1</f>
        <v>1.771679328657072E-4</v>
      </c>
      <c r="K26" s="6">
        <f t="shared" ref="K26" si="23">(H26^3)-(H26^2)*EXP(-0.5*H26)-3*H26+1</f>
        <v>-5.3388139001242507E-5</v>
      </c>
      <c r="L26" s="6" t="str">
        <f t="shared" si="6"/>
        <v>SI</v>
      </c>
      <c r="M26" t="str">
        <f t="shared" si="2"/>
        <v>a = -1,23410034179687</v>
      </c>
    </row>
    <row r="27" spans="2:29">
      <c r="B27" s="6">
        <v>5</v>
      </c>
      <c r="C27" s="6">
        <f t="shared" si="13"/>
        <v>108.94787503440253</v>
      </c>
      <c r="H27" s="15" t="s">
        <v>25</v>
      </c>
    </row>
    <row r="30" spans="2:29">
      <c r="E30" s="5" t="s">
        <v>7</v>
      </c>
      <c r="F30" s="5" t="s">
        <v>8</v>
      </c>
      <c r="G30" s="5" t="s">
        <v>9</v>
      </c>
      <c r="H30" s="5" t="s">
        <v>10</v>
      </c>
      <c r="I30" s="5" t="s">
        <v>11</v>
      </c>
      <c r="J30" s="5" t="s">
        <v>12</v>
      </c>
      <c r="K30" s="5" t="s">
        <v>13</v>
      </c>
      <c r="L30" s="5" t="s">
        <v>2</v>
      </c>
      <c r="P30" s="5" t="s">
        <v>7</v>
      </c>
      <c r="Q30" s="5" t="s">
        <v>8</v>
      </c>
      <c r="R30" s="5" t="s">
        <v>9</v>
      </c>
      <c r="S30" s="5" t="s">
        <v>10</v>
      </c>
      <c r="T30" s="5" t="s">
        <v>11</v>
      </c>
      <c r="U30" s="5" t="s">
        <v>12</v>
      </c>
      <c r="V30" s="5" t="s">
        <v>13</v>
      </c>
      <c r="W30" s="5" t="s">
        <v>2</v>
      </c>
      <c r="AB30" t="s">
        <v>58</v>
      </c>
    </row>
    <row r="31" spans="2:29">
      <c r="E31" s="6">
        <v>0</v>
      </c>
      <c r="F31" s="6">
        <v>0</v>
      </c>
      <c r="G31" s="6">
        <v>1</v>
      </c>
      <c r="H31" s="6">
        <f t="shared" ref="H31:H44" si="24">(F31+G31)/2</f>
        <v>0.5</v>
      </c>
      <c r="I31" s="6">
        <f t="shared" ref="I31:I44" si="25">(F31^3)-(F31^2)*EXP(-0.5*F31)-3*F31+1</f>
        <v>1</v>
      </c>
      <c r="J31" s="6">
        <f t="shared" ref="J31:J44" si="26">(G31^3)-(G31^2)*EXP(-0.5*G31)-3*G31+1</f>
        <v>-1.6065306597126332</v>
      </c>
      <c r="K31" s="6">
        <f t="shared" ref="K31" si="27">(H31^3)-(H31^2)*EXP(-0.5*H31)-3*H31+1</f>
        <v>-0.56970019576785114</v>
      </c>
      <c r="L31" s="6">
        <v>1E-4</v>
      </c>
      <c r="M31" t="str">
        <f t="shared" ref="M31:M44" si="28">IF(K31*J31&lt;0, "a = "&amp;H31, IF(K31*I31&lt;0, "b = "&amp;H31, "ERROR"))</f>
        <v>b = 0,5</v>
      </c>
      <c r="P31" s="6">
        <v>0</v>
      </c>
      <c r="Q31" s="6">
        <v>1</v>
      </c>
      <c r="R31" s="6">
        <v>2</v>
      </c>
      <c r="S31" s="6">
        <f t="shared" ref="S31:S45" si="29">+(Q31+R31)/2</f>
        <v>1.5</v>
      </c>
      <c r="T31" s="6">
        <f t="shared" ref="T31:T45" si="30">(Q31^3)-(Q31^2)*EXP(-0.5*Q31)-3*Q31+1</f>
        <v>-1.6065306597126332</v>
      </c>
      <c r="U31" s="6">
        <f t="shared" ref="U31:U45" si="31">(R31^3)-(R31^2)*EXP(-0.5*R31)-3*R31+1</f>
        <v>1.5284822353142307</v>
      </c>
      <c r="V31" s="6">
        <f t="shared" ref="V31:V45" si="32">(S31^3)-(S31^2)*EXP(-0.5*S31)-3*S31+1</f>
        <v>-1.1878247436672833</v>
      </c>
      <c r="W31" s="6">
        <v>1E-4</v>
      </c>
      <c r="X31" t="str">
        <f t="shared" ref="X31:X45" si="33">IF(V31*U31&lt;0, "a = "&amp;S31, IF(V31*T31&lt;0, "b = "&amp;S31, "ERROR"))</f>
        <v>a = 1,5</v>
      </c>
      <c r="AB31" t="s">
        <v>63</v>
      </c>
      <c r="AC31" s="26">
        <v>-1.23409329974315</v>
      </c>
    </row>
    <row r="32" spans="2:29">
      <c r="E32" s="6">
        <v>1</v>
      </c>
      <c r="F32" s="6">
        <f>+F31</f>
        <v>0</v>
      </c>
      <c r="G32" s="6">
        <f>+H31</f>
        <v>0.5</v>
      </c>
      <c r="H32" s="6">
        <f t="shared" si="24"/>
        <v>0.25</v>
      </c>
      <c r="I32" s="6">
        <f t="shared" si="25"/>
        <v>1</v>
      </c>
      <c r="J32" s="6">
        <f t="shared" si="26"/>
        <v>-0.56970019576785114</v>
      </c>
      <c r="K32" s="6">
        <f t="shared" ref="K32" si="34">(H32^3)-(H32^2)*EXP(-0.5*H32)-3*H32+1</f>
        <v>0.2104689435884628</v>
      </c>
      <c r="L32" s="6" t="str">
        <f t="shared" ref="L32:L44" si="35">IF(ABS(K32)&lt;=0.0001, "SI","NO")</f>
        <v>NO</v>
      </c>
      <c r="M32" t="str">
        <f t="shared" si="28"/>
        <v>a = 0,25</v>
      </c>
      <c r="P32" s="6">
        <v>1</v>
      </c>
      <c r="Q32" s="6">
        <f>+S31</f>
        <v>1.5</v>
      </c>
      <c r="R32" s="6">
        <f>+R31</f>
        <v>2</v>
      </c>
      <c r="S32" s="6">
        <f t="shared" si="29"/>
        <v>1.75</v>
      </c>
      <c r="T32" s="6">
        <f t="shared" si="30"/>
        <v>-1.1878247436672833</v>
      </c>
      <c r="U32" s="6">
        <f t="shared" si="31"/>
        <v>1.5284822353142307</v>
      </c>
      <c r="V32" s="6">
        <f t="shared" si="32"/>
        <v>-0.16726493526543162</v>
      </c>
      <c r="W32" s="6" t="str">
        <f t="shared" ref="W32:W45" si="36">IF(ABS(V32)&lt;=0.0001, "SI","NO")</f>
        <v>NO</v>
      </c>
      <c r="X32" t="str">
        <f t="shared" si="33"/>
        <v>a = 1,75</v>
      </c>
      <c r="AB32" t="s">
        <v>61</v>
      </c>
      <c r="AC32" s="27">
        <v>0.31546600078012599</v>
      </c>
    </row>
    <row r="33" spans="5:42">
      <c r="E33" s="6">
        <v>2</v>
      </c>
      <c r="F33" s="6">
        <f>+H32</f>
        <v>0.25</v>
      </c>
      <c r="G33" s="6">
        <f>+G32</f>
        <v>0.5</v>
      </c>
      <c r="H33" s="6">
        <f t="shared" si="24"/>
        <v>0.375</v>
      </c>
      <c r="I33" s="6">
        <f t="shared" si="25"/>
        <v>0.2104689435884628</v>
      </c>
      <c r="J33" s="6">
        <f t="shared" si="26"/>
        <v>-0.56970019576785114</v>
      </c>
      <c r="K33" s="6">
        <f t="shared" ref="K33" si="37">(H33^3)-(H33^2)*EXP(-0.5*H33)-3*H33+1</f>
        <v>-0.18884784474411886</v>
      </c>
      <c r="L33" s="6" t="str">
        <f t="shared" si="35"/>
        <v>NO</v>
      </c>
      <c r="M33" t="str">
        <f t="shared" si="28"/>
        <v>b = 0,375</v>
      </c>
      <c r="P33" s="6">
        <v>2</v>
      </c>
      <c r="Q33" s="6">
        <f>+S32</f>
        <v>1.75</v>
      </c>
      <c r="R33" s="6">
        <f>+R32</f>
        <v>2</v>
      </c>
      <c r="S33" s="6">
        <f t="shared" si="29"/>
        <v>1.875</v>
      </c>
      <c r="T33" s="6">
        <f t="shared" si="30"/>
        <v>-0.16726493526543162</v>
      </c>
      <c r="U33" s="6">
        <f t="shared" si="31"/>
        <v>1.5284822353142307</v>
      </c>
      <c r="V33" s="6">
        <f t="shared" si="32"/>
        <v>0.59005834371437871</v>
      </c>
      <c r="W33" s="6" t="str">
        <f t="shared" si="36"/>
        <v>NO</v>
      </c>
      <c r="X33" t="str">
        <f t="shared" si="33"/>
        <v>b = 1,875</v>
      </c>
      <c r="AB33" t="s">
        <v>62</v>
      </c>
      <c r="AC33">
        <v>1.78024062967195</v>
      </c>
    </row>
    <row r="34" spans="5:42" ht="23.25">
      <c r="E34" s="6">
        <v>3</v>
      </c>
      <c r="F34" s="6">
        <f>+F33</f>
        <v>0.25</v>
      </c>
      <c r="G34" s="6">
        <f>+H33</f>
        <v>0.375</v>
      </c>
      <c r="H34" s="6">
        <f t="shared" si="24"/>
        <v>0.3125</v>
      </c>
      <c r="I34" s="6">
        <f t="shared" si="25"/>
        <v>0.2104689435884628</v>
      </c>
      <c r="J34" s="6">
        <f t="shared" si="26"/>
        <v>-0.18884784474411886</v>
      </c>
      <c r="K34" s="6">
        <f t="shared" ref="K34" si="38">(H34^3)-(H34^2)*EXP(-0.5*H34)-3*H34+1</f>
        <v>9.4877610051344874E-3</v>
      </c>
      <c r="L34" s="6" t="str">
        <f t="shared" si="35"/>
        <v>NO</v>
      </c>
      <c r="M34" t="str">
        <f t="shared" si="28"/>
        <v>a = 0,3125</v>
      </c>
      <c r="P34" s="6">
        <v>3</v>
      </c>
      <c r="Q34" s="6">
        <f>+Q33</f>
        <v>1.75</v>
      </c>
      <c r="R34" s="6">
        <f>+S33</f>
        <v>1.875</v>
      </c>
      <c r="S34" s="6">
        <f t="shared" si="29"/>
        <v>1.8125</v>
      </c>
      <c r="T34" s="6">
        <f t="shared" si="30"/>
        <v>-0.16726493526543162</v>
      </c>
      <c r="U34" s="6">
        <f t="shared" si="31"/>
        <v>0.59005834371437871</v>
      </c>
      <c r="V34" s="6">
        <f t="shared" si="32"/>
        <v>0.18952259218409928</v>
      </c>
      <c r="W34" s="6" t="str">
        <f t="shared" si="36"/>
        <v>NO</v>
      </c>
      <c r="X34" t="str">
        <f t="shared" si="33"/>
        <v>b = 1,8125</v>
      </c>
      <c r="AB34" s="36" t="s">
        <v>47</v>
      </c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</row>
    <row r="35" spans="5:42">
      <c r="E35" s="6">
        <v>4</v>
      </c>
      <c r="F35" s="6">
        <f>+H34</f>
        <v>0.3125</v>
      </c>
      <c r="G35" s="6">
        <f>+G34</f>
        <v>0.375</v>
      </c>
      <c r="H35" s="6">
        <f t="shared" si="24"/>
        <v>0.34375</v>
      </c>
      <c r="I35" s="6">
        <f t="shared" si="25"/>
        <v>9.4877610051344874E-3</v>
      </c>
      <c r="J35" s="6">
        <f t="shared" si="26"/>
        <v>-0.18884784474411886</v>
      </c>
      <c r="K35" s="6">
        <f t="shared" ref="K35" si="39">(H35^3)-(H35^2)*EXP(-0.5*H35)-3*H35+1</f>
        <v>-9.0135220394872428E-2</v>
      </c>
      <c r="L35" s="6" t="str">
        <f t="shared" si="35"/>
        <v>NO</v>
      </c>
      <c r="M35" t="str">
        <f t="shared" si="28"/>
        <v>b = 0,34375</v>
      </c>
      <c r="P35" s="6">
        <v>4</v>
      </c>
      <c r="Q35" s="6">
        <f>+Q34</f>
        <v>1.75</v>
      </c>
      <c r="R35" s="6">
        <f>+S34</f>
        <v>1.8125</v>
      </c>
      <c r="S35" s="6">
        <f t="shared" si="29"/>
        <v>1.78125</v>
      </c>
      <c r="T35" s="6">
        <f t="shared" si="30"/>
        <v>-0.16726493526543162</v>
      </c>
      <c r="U35" s="6">
        <f t="shared" si="31"/>
        <v>0.18952259218409928</v>
      </c>
      <c r="V35" s="6">
        <f t="shared" si="32"/>
        <v>5.7561880955994127E-3</v>
      </c>
      <c r="W35" s="6" t="str">
        <f t="shared" si="36"/>
        <v>NO</v>
      </c>
      <c r="X35" t="str">
        <f t="shared" si="33"/>
        <v>b = 1,78125</v>
      </c>
      <c r="AB35" s="28" t="s">
        <v>52</v>
      </c>
      <c r="AC35" s="28" t="s">
        <v>48</v>
      </c>
      <c r="AD35" s="28" t="s">
        <v>50</v>
      </c>
      <c r="AE35" s="28" t="s">
        <v>51</v>
      </c>
      <c r="AF35" s="28" t="s">
        <v>55</v>
      </c>
      <c r="AG35" s="31" t="s">
        <v>52</v>
      </c>
      <c r="AH35" s="31" t="s">
        <v>48</v>
      </c>
      <c r="AI35" s="31" t="s">
        <v>50</v>
      </c>
      <c r="AJ35" s="31" t="s">
        <v>51</v>
      </c>
      <c r="AK35" s="31" t="s">
        <v>56</v>
      </c>
      <c r="AL35" s="34" t="s">
        <v>52</v>
      </c>
      <c r="AM35" s="34" t="s">
        <v>48</v>
      </c>
      <c r="AN35" s="34" t="s">
        <v>50</v>
      </c>
      <c r="AO35" s="34" t="s">
        <v>51</v>
      </c>
      <c r="AP35" s="34" t="s">
        <v>60</v>
      </c>
    </row>
    <row r="36" spans="5:42">
      <c r="E36" s="6">
        <v>5</v>
      </c>
      <c r="F36" s="6">
        <f>+F35</f>
        <v>0.3125</v>
      </c>
      <c r="G36" s="6">
        <f>+H35</f>
        <v>0.34375</v>
      </c>
      <c r="H36" s="6">
        <f t="shared" si="24"/>
        <v>0.328125</v>
      </c>
      <c r="I36" s="6">
        <f t="shared" si="25"/>
        <v>9.4877610051344874E-3</v>
      </c>
      <c r="J36" s="6">
        <f t="shared" si="26"/>
        <v>-9.0135220394872428E-2</v>
      </c>
      <c r="K36" s="6">
        <f t="shared" ref="K36" si="40">(H36^3)-(H36^2)*EXP(-0.5*H36)-3*H36+1</f>
        <v>-4.0422049298882712E-2</v>
      </c>
      <c r="L36" s="6" t="str">
        <f t="shared" si="35"/>
        <v>NO</v>
      </c>
      <c r="M36" t="str">
        <f t="shared" si="28"/>
        <v>b = 0,328125</v>
      </c>
      <c r="P36" s="6">
        <v>5</v>
      </c>
      <c r="Q36" s="6">
        <f>+Q35</f>
        <v>1.75</v>
      </c>
      <c r="R36" s="6">
        <f>+S35</f>
        <v>1.78125</v>
      </c>
      <c r="S36" s="6">
        <f t="shared" si="29"/>
        <v>1.765625</v>
      </c>
      <c r="T36" s="6">
        <f t="shared" si="30"/>
        <v>-0.16726493526543162</v>
      </c>
      <c r="U36" s="6">
        <f t="shared" si="31"/>
        <v>5.7561880955994127E-3</v>
      </c>
      <c r="V36" s="6">
        <f t="shared" si="32"/>
        <v>-8.2085517878812908E-2</v>
      </c>
      <c r="W36" s="6" t="str">
        <f t="shared" si="36"/>
        <v>NO</v>
      </c>
      <c r="X36" t="str">
        <f t="shared" si="33"/>
        <v>a = 1,765625</v>
      </c>
      <c r="AB36" s="29" t="s">
        <v>49</v>
      </c>
      <c r="AC36" s="30">
        <f>ABS($AC$31-H26)</f>
        <v>7.0420537250370785E-6</v>
      </c>
      <c r="AD36" s="30">
        <f>AC36/ABS($AC$31)</f>
        <v>5.7062571577876087E-6</v>
      </c>
      <c r="AE36" s="30">
        <f>AD36*100</f>
        <v>5.7062571577876087E-4</v>
      </c>
      <c r="AF36" s="30">
        <f>COUNT(E12:E26)</f>
        <v>15</v>
      </c>
      <c r="AG36" s="32" t="s">
        <v>49</v>
      </c>
      <c r="AH36" s="33">
        <f>ABS($AC$32-H44)</f>
        <v>2.4721876124011999E-5</v>
      </c>
      <c r="AI36" s="33">
        <f>AH36/ABS($AC$32)</f>
        <v>7.8366213990973597E-5</v>
      </c>
      <c r="AJ36" s="33">
        <f>AI36*100</f>
        <v>7.8366213990973595E-3</v>
      </c>
      <c r="AK36" s="33">
        <v>14</v>
      </c>
      <c r="AL36" s="35" t="s">
        <v>49</v>
      </c>
      <c r="AM36" s="14">
        <f>ABS($AC$33-S45)</f>
        <v>2.2902499250410102E-6</v>
      </c>
      <c r="AN36" s="14">
        <f>AM36/ABS($AC$33)</f>
        <v>1.286483347738806E-6</v>
      </c>
      <c r="AO36" s="14">
        <f>AN36*100</f>
        <v>1.2864833477388061E-4</v>
      </c>
      <c r="AP36" s="14">
        <v>15</v>
      </c>
    </row>
    <row r="37" spans="5:42">
      <c r="E37" s="6">
        <v>6</v>
      </c>
      <c r="F37" s="6">
        <f>+F36</f>
        <v>0.3125</v>
      </c>
      <c r="G37" s="6">
        <f>+H36</f>
        <v>0.328125</v>
      </c>
      <c r="H37" s="6">
        <f t="shared" si="24"/>
        <v>0.3203125</v>
      </c>
      <c r="I37" s="6">
        <f t="shared" si="25"/>
        <v>9.4877610051344874E-3</v>
      </c>
      <c r="J37" s="6">
        <f t="shared" si="26"/>
        <v>-4.0422049298882712E-2</v>
      </c>
      <c r="K37" s="6">
        <f t="shared" ref="K37:K40" si="41">(H37^3)-(H37^2)*EXP(-0.5*H37)-3*H37+1</f>
        <v>-1.5489782308668598E-2</v>
      </c>
      <c r="L37" s="6" t="str">
        <f t="shared" si="35"/>
        <v>NO</v>
      </c>
      <c r="M37" t="str">
        <f t="shared" si="28"/>
        <v>b = 0,3203125</v>
      </c>
      <c r="P37" s="6">
        <v>6</v>
      </c>
      <c r="Q37" s="6">
        <f>+S36</f>
        <v>1.765625</v>
      </c>
      <c r="R37" s="6">
        <f>+R36</f>
        <v>1.78125</v>
      </c>
      <c r="S37" s="6">
        <f t="shared" si="29"/>
        <v>1.7734375</v>
      </c>
      <c r="T37" s="6">
        <f t="shared" si="30"/>
        <v>-8.2085517878812908E-2</v>
      </c>
      <c r="U37" s="6">
        <f t="shared" si="31"/>
        <v>5.7561880955994127E-3</v>
      </c>
      <c r="V37" s="6">
        <f t="shared" si="32"/>
        <v>-3.8498954300466792E-2</v>
      </c>
      <c r="W37" s="6" t="str">
        <f t="shared" si="36"/>
        <v>NO</v>
      </c>
      <c r="X37" t="str">
        <f t="shared" si="33"/>
        <v>a = 1,7734375</v>
      </c>
      <c r="AB37" s="29" t="s">
        <v>54</v>
      </c>
      <c r="AC37" s="30">
        <f>ABS($AC$31-H44)</f>
        <v>1.5495840223994</v>
      </c>
      <c r="AD37" s="30">
        <f t="shared" ref="AD37:AD38" si="42">AC37/ABS($AC$31)</f>
        <v>1.2556457625383046</v>
      </c>
      <c r="AE37" s="30">
        <f t="shared" ref="AE37:AE38" si="43">AD37*100</f>
        <v>125.56457625383047</v>
      </c>
      <c r="AF37" s="30">
        <f>COUNT(G59:G64)</f>
        <v>6</v>
      </c>
      <c r="AG37" s="32" t="s">
        <v>54</v>
      </c>
      <c r="AH37" s="33">
        <f>ABS($AC$32-N62)</f>
        <v>1.7603452029391065E-10</v>
      </c>
      <c r="AI37" s="33">
        <f t="shared" ref="AI37:AI38" si="44">AH37/ABS($AC$32)</f>
        <v>5.5801423880414766E-10</v>
      </c>
      <c r="AJ37" s="33">
        <f t="shared" ref="AJ37:AJ38" si="45">AI37*100</f>
        <v>5.5801423880414764E-8</v>
      </c>
      <c r="AK37" s="33">
        <v>4</v>
      </c>
      <c r="AL37" s="35" t="s">
        <v>54</v>
      </c>
      <c r="AM37" s="14">
        <f>ABS($AC$33-T63)</f>
        <v>9.1529515078292434E-8</v>
      </c>
      <c r="AN37" s="14">
        <f t="shared" ref="AN37:AN38" si="46">AM37/ABS($AC$33)</f>
        <v>5.1414125457387657E-8</v>
      </c>
      <c r="AO37" s="14">
        <f t="shared" ref="AO37:AO38" si="47">AN37*100</f>
        <v>5.1414125457387657E-6</v>
      </c>
      <c r="AP37" s="14">
        <v>5</v>
      </c>
    </row>
    <row r="38" spans="5:42">
      <c r="E38" s="6">
        <v>7</v>
      </c>
      <c r="F38" s="6">
        <f>+F37</f>
        <v>0.3125</v>
      </c>
      <c r="G38" s="6">
        <f>+H37</f>
        <v>0.3203125</v>
      </c>
      <c r="H38" s="6">
        <f t="shared" si="24"/>
        <v>0.31640625</v>
      </c>
      <c r="I38" s="6">
        <f t="shared" si="25"/>
        <v>9.4877610051344874E-3</v>
      </c>
      <c r="J38" s="6">
        <f t="shared" si="26"/>
        <v>-1.5489782308668598E-2</v>
      </c>
      <c r="K38" s="6">
        <f t="shared" si="41"/>
        <v>-3.006427010124435E-3</v>
      </c>
      <c r="L38" s="6" t="str">
        <f t="shared" si="35"/>
        <v>NO</v>
      </c>
      <c r="M38" t="str">
        <f t="shared" si="28"/>
        <v>b = 0,31640625</v>
      </c>
      <c r="P38" s="6">
        <v>7</v>
      </c>
      <c r="Q38" s="6">
        <f>+S37</f>
        <v>1.7734375</v>
      </c>
      <c r="R38" s="6">
        <f>+R37</f>
        <v>1.78125</v>
      </c>
      <c r="S38" s="6">
        <f t="shared" si="29"/>
        <v>1.77734375</v>
      </c>
      <c r="T38" s="6">
        <f t="shared" si="30"/>
        <v>-3.8498954300466792E-2</v>
      </c>
      <c r="U38" s="6">
        <f t="shared" si="31"/>
        <v>5.7561880955994127E-3</v>
      </c>
      <c r="V38" s="6">
        <f t="shared" si="32"/>
        <v>-1.6455143251628002E-2</v>
      </c>
      <c r="W38" s="6" t="str">
        <f t="shared" si="36"/>
        <v>NO</v>
      </c>
      <c r="X38" t="str">
        <f t="shared" si="33"/>
        <v>a = 1,77734375</v>
      </c>
      <c r="AB38" s="29" t="s">
        <v>53</v>
      </c>
      <c r="AC38" s="30">
        <f>ABS($AC$31-S45)</f>
        <v>3.014336219665025</v>
      </c>
      <c r="AD38" s="30">
        <f t="shared" si="42"/>
        <v>2.442551321113561</v>
      </c>
      <c r="AE38" s="30">
        <f t="shared" si="43"/>
        <v>244.25513211135609</v>
      </c>
      <c r="AF38" s="30">
        <v>7</v>
      </c>
      <c r="AG38" s="32" t="s">
        <v>53</v>
      </c>
      <c r="AH38" s="33">
        <f>ABS($AC$32-N78)</f>
        <v>6.47119763608206E-7</v>
      </c>
      <c r="AI38" s="33">
        <f t="shared" si="44"/>
        <v>2.0513138088032395E-6</v>
      </c>
      <c r="AJ38" s="33">
        <f t="shared" si="45"/>
        <v>2.0513138088032394E-4</v>
      </c>
      <c r="AK38" s="33">
        <v>6</v>
      </c>
      <c r="AL38" s="35" t="s">
        <v>53</v>
      </c>
      <c r="AM38" s="14">
        <f>ABS($AC$33-T80)</f>
        <v>1.0382911197481803E-7</v>
      </c>
      <c r="AN38" s="14">
        <f t="shared" si="46"/>
        <v>5.8323077366204656E-8</v>
      </c>
      <c r="AO38" s="14">
        <f t="shared" si="47"/>
        <v>5.8323077366204653E-6</v>
      </c>
      <c r="AP38" s="14">
        <v>8</v>
      </c>
    </row>
    <row r="39" spans="5:42">
      <c r="E39" s="6">
        <v>8</v>
      </c>
      <c r="F39" s="6">
        <f>+F38</f>
        <v>0.3125</v>
      </c>
      <c r="G39" s="6">
        <f>+H38</f>
        <v>0.31640625</v>
      </c>
      <c r="H39" s="6">
        <f t="shared" si="24"/>
        <v>0.314453125</v>
      </c>
      <c r="I39" s="6">
        <f t="shared" si="25"/>
        <v>9.4877610051344874E-3</v>
      </c>
      <c r="J39" s="6">
        <f t="shared" si="26"/>
        <v>-3.006427010124435E-3</v>
      </c>
      <c r="K39" s="6">
        <f t="shared" si="41"/>
        <v>3.239343334866418E-3</v>
      </c>
      <c r="L39" s="6" t="str">
        <f t="shared" si="35"/>
        <v>NO</v>
      </c>
      <c r="M39" t="str">
        <f t="shared" si="28"/>
        <v>a = 0,314453125</v>
      </c>
      <c r="P39" s="6">
        <v>8</v>
      </c>
      <c r="Q39" s="6">
        <f>+S38</f>
        <v>1.77734375</v>
      </c>
      <c r="R39" s="6">
        <f>+R38</f>
        <v>1.78125</v>
      </c>
      <c r="S39" s="6">
        <f t="shared" si="29"/>
        <v>1.779296875</v>
      </c>
      <c r="T39" s="6">
        <f t="shared" si="30"/>
        <v>-1.6455143251628002E-2</v>
      </c>
      <c r="U39" s="6">
        <f t="shared" si="31"/>
        <v>5.7561880955994127E-3</v>
      </c>
      <c r="V39" s="6">
        <f t="shared" si="32"/>
        <v>-5.3704410824852999E-3</v>
      </c>
      <c r="W39" s="6" t="str">
        <f t="shared" si="36"/>
        <v>NO</v>
      </c>
      <c r="X39" t="str">
        <f t="shared" si="33"/>
        <v>a = 1,779296875</v>
      </c>
    </row>
    <row r="40" spans="5:42">
      <c r="E40" s="6">
        <v>9</v>
      </c>
      <c r="F40" s="6">
        <f>+H39</f>
        <v>0.314453125</v>
      </c>
      <c r="G40" s="6">
        <f>+G39</f>
        <v>0.31640625</v>
      </c>
      <c r="H40" s="6">
        <f t="shared" si="24"/>
        <v>0.3154296875</v>
      </c>
      <c r="I40" s="6">
        <f t="shared" si="25"/>
        <v>3.239343334866418E-3</v>
      </c>
      <c r="J40" s="6">
        <f t="shared" si="26"/>
        <v>-3.006427010124435E-3</v>
      </c>
      <c r="K40" s="6">
        <f t="shared" si="41"/>
        <v>1.1612344203659752E-4</v>
      </c>
      <c r="L40" s="6" t="str">
        <f t="shared" si="35"/>
        <v>NO</v>
      </c>
      <c r="M40" t="str">
        <f t="shared" si="28"/>
        <v>a = 0,3154296875</v>
      </c>
      <c r="P40" s="6">
        <v>9</v>
      </c>
      <c r="Q40" s="6">
        <f>+S39</f>
        <v>1.779296875</v>
      </c>
      <c r="R40" s="6">
        <f>+R39</f>
        <v>1.78125</v>
      </c>
      <c r="S40" s="6">
        <f t="shared" si="29"/>
        <v>1.7802734375</v>
      </c>
      <c r="T40" s="6">
        <f t="shared" si="30"/>
        <v>-5.3704410824852999E-3</v>
      </c>
      <c r="U40" s="6">
        <f t="shared" si="31"/>
        <v>5.7561880955994127E-3</v>
      </c>
      <c r="V40" s="6">
        <f t="shared" si="32"/>
        <v>1.8762969750696357E-4</v>
      </c>
      <c r="W40" s="6" t="str">
        <f t="shared" si="36"/>
        <v>NO</v>
      </c>
      <c r="X40" t="str">
        <f t="shared" si="33"/>
        <v>b = 1,7802734375</v>
      </c>
    </row>
    <row r="41" spans="5:42">
      <c r="E41" s="6">
        <v>10</v>
      </c>
      <c r="F41" s="6">
        <f>+H40</f>
        <v>0.3154296875</v>
      </c>
      <c r="G41" s="6">
        <f>+G40</f>
        <v>0.31640625</v>
      </c>
      <c r="H41" s="6">
        <f t="shared" si="24"/>
        <v>0.31591796875</v>
      </c>
      <c r="I41" s="6">
        <f t="shared" si="25"/>
        <v>1.1612344203659752E-4</v>
      </c>
      <c r="J41" s="6">
        <f t="shared" si="26"/>
        <v>-3.006427010124435E-3</v>
      </c>
      <c r="K41" s="6">
        <f t="shared" ref="K41" si="48">(H41^3)-(H41^2)*EXP(-0.5*H41)-3*H41+1</f>
        <v>-1.4452359395975556E-3</v>
      </c>
      <c r="L41" s="6" t="str">
        <f t="shared" si="35"/>
        <v>NO</v>
      </c>
      <c r="M41" t="str">
        <f t="shared" si="28"/>
        <v>b = 0,31591796875</v>
      </c>
      <c r="P41" s="6">
        <v>10</v>
      </c>
      <c r="Q41" s="6">
        <f>+Q40</f>
        <v>1.779296875</v>
      </c>
      <c r="R41" s="6">
        <f>+S40</f>
        <v>1.7802734375</v>
      </c>
      <c r="S41" s="6">
        <f t="shared" si="29"/>
        <v>1.77978515625</v>
      </c>
      <c r="T41" s="6">
        <f t="shared" si="30"/>
        <v>-5.3704410824852999E-3</v>
      </c>
      <c r="U41" s="6">
        <f t="shared" si="31"/>
        <v>1.8762969750696357E-4</v>
      </c>
      <c r="V41" s="6">
        <f t="shared" si="32"/>
        <v>-2.5927162781558266E-3</v>
      </c>
      <c r="W41" s="6" t="str">
        <f t="shared" si="36"/>
        <v>NO</v>
      </c>
      <c r="X41" t="str">
        <f t="shared" si="33"/>
        <v>a = 1,77978515625</v>
      </c>
    </row>
    <row r="42" spans="5:42">
      <c r="E42" s="6">
        <v>11</v>
      </c>
      <c r="F42" s="6">
        <f>+F41</f>
        <v>0.3154296875</v>
      </c>
      <c r="G42" s="6">
        <f>+H41</f>
        <v>0.31591796875</v>
      </c>
      <c r="H42" s="6">
        <f t="shared" si="24"/>
        <v>0.315673828125</v>
      </c>
      <c r="I42" s="6">
        <f t="shared" si="25"/>
        <v>1.1612344203659752E-4</v>
      </c>
      <c r="J42" s="6">
        <f t="shared" si="26"/>
        <v>-1.4452359395975556E-3</v>
      </c>
      <c r="K42" s="6">
        <f t="shared" ref="K42" si="49">(H42^3)-(H42^2)*EXP(-0.5*H42)-3*H42+1</f>
        <v>-6.6457722824031507E-4</v>
      </c>
      <c r="L42" s="6" t="str">
        <f t="shared" si="35"/>
        <v>NO</v>
      </c>
      <c r="M42" t="str">
        <f t="shared" si="28"/>
        <v>b = 0,315673828125</v>
      </c>
      <c r="P42" s="6">
        <v>11</v>
      </c>
      <c r="Q42" s="6">
        <f>+S41</f>
        <v>1.77978515625</v>
      </c>
      <c r="R42" s="6">
        <f>+R41</f>
        <v>1.7802734375</v>
      </c>
      <c r="S42" s="6">
        <f t="shared" si="29"/>
        <v>1.780029296875</v>
      </c>
      <c r="T42" s="6">
        <f t="shared" si="30"/>
        <v>-2.5927162781558266E-3</v>
      </c>
      <c r="U42" s="6">
        <f t="shared" si="31"/>
        <v>1.8762969750696357E-4</v>
      </c>
      <c r="V42" s="6">
        <f t="shared" si="32"/>
        <v>-1.2028709825662176E-3</v>
      </c>
      <c r="W42" s="6" t="str">
        <f t="shared" si="36"/>
        <v>NO</v>
      </c>
      <c r="X42" t="str">
        <f t="shared" si="33"/>
        <v>a = 1,780029296875</v>
      </c>
    </row>
    <row r="43" spans="5:42">
      <c r="E43" s="6">
        <v>12</v>
      </c>
      <c r="F43" s="6">
        <f>+F42</f>
        <v>0.3154296875</v>
      </c>
      <c r="G43" s="6">
        <f>+H42</f>
        <v>0.315673828125</v>
      </c>
      <c r="H43" s="6">
        <f t="shared" si="24"/>
        <v>0.3155517578125</v>
      </c>
      <c r="I43" s="6">
        <f t="shared" si="25"/>
        <v>1.1612344203659752E-4</v>
      </c>
      <c r="J43" s="6">
        <f t="shared" si="26"/>
        <v>-6.6457722824031507E-4</v>
      </c>
      <c r="K43" s="6">
        <f t="shared" ref="K43:K44" si="50">(H43^3)-(H43^2)*EXP(-0.5*H43)-3*H43+1</f>
        <v>-2.7423213053778817E-4</v>
      </c>
      <c r="L43" s="6" t="str">
        <f t="shared" si="35"/>
        <v>NO</v>
      </c>
      <c r="M43" t="str">
        <f t="shared" si="28"/>
        <v>b = 0,3155517578125</v>
      </c>
      <c r="P43" s="6">
        <v>12</v>
      </c>
      <c r="Q43" s="6">
        <f>+S42</f>
        <v>1.780029296875</v>
      </c>
      <c r="R43" s="6">
        <f>+R42</f>
        <v>1.7802734375</v>
      </c>
      <c r="S43" s="6">
        <f t="shared" si="29"/>
        <v>1.7801513671875</v>
      </c>
      <c r="T43" s="6">
        <f t="shared" si="30"/>
        <v>-1.2028709825662176E-3</v>
      </c>
      <c r="U43" s="6">
        <f t="shared" si="31"/>
        <v>1.8762969750696357E-4</v>
      </c>
      <c r="V43" s="6">
        <f t="shared" si="32"/>
        <v>-5.0770257131826924E-4</v>
      </c>
      <c r="W43" s="6" t="str">
        <f t="shared" si="36"/>
        <v>NO</v>
      </c>
      <c r="X43" t="str">
        <f t="shared" si="33"/>
        <v>a = 1,7801513671875</v>
      </c>
    </row>
    <row r="44" spans="5:42">
      <c r="E44" s="6">
        <v>13</v>
      </c>
      <c r="F44" s="6">
        <f>+F43</f>
        <v>0.3154296875</v>
      </c>
      <c r="G44" s="6">
        <f>+H43</f>
        <v>0.3155517578125</v>
      </c>
      <c r="H44" s="2">
        <f t="shared" si="24"/>
        <v>0.31549072265625</v>
      </c>
      <c r="I44" s="6">
        <f t="shared" si="25"/>
        <v>1.1612344203659752E-4</v>
      </c>
      <c r="J44" s="6">
        <f t="shared" si="26"/>
        <v>-2.7423213053778817E-4</v>
      </c>
      <c r="K44" s="6">
        <f t="shared" si="50"/>
        <v>-7.9055652680848354E-5</v>
      </c>
      <c r="L44" s="6" t="str">
        <f t="shared" si="35"/>
        <v>SI</v>
      </c>
      <c r="M44" t="str">
        <f t="shared" si="28"/>
        <v>b = 0,31549072265625</v>
      </c>
      <c r="P44" s="6">
        <v>13</v>
      </c>
      <c r="Q44" s="6">
        <f>+S43</f>
        <v>1.7801513671875</v>
      </c>
      <c r="R44" s="6">
        <f>+R43</f>
        <v>1.7802734375</v>
      </c>
      <c r="S44" s="6">
        <f t="shared" si="29"/>
        <v>1.78021240234375</v>
      </c>
      <c r="T44" s="6">
        <f t="shared" si="30"/>
        <v>-5.0770257131826924E-4</v>
      </c>
      <c r="U44" s="6">
        <f t="shared" si="31"/>
        <v>1.8762969750696357E-4</v>
      </c>
      <c r="V44" s="6">
        <f t="shared" si="32"/>
        <v>-1.6005691981924031E-4</v>
      </c>
      <c r="W44" s="6" t="str">
        <f t="shared" si="36"/>
        <v>NO</v>
      </c>
      <c r="X44" t="str">
        <f t="shared" si="33"/>
        <v>a = 1,78021240234375</v>
      </c>
    </row>
    <row r="45" spans="5:42">
      <c r="H45" s="15" t="s">
        <v>26</v>
      </c>
      <c r="P45" s="6">
        <v>14</v>
      </c>
      <c r="Q45" s="6">
        <f>+S44</f>
        <v>1.78021240234375</v>
      </c>
      <c r="R45" s="6">
        <f>+R44</f>
        <v>1.7802734375</v>
      </c>
      <c r="S45" s="2">
        <f t="shared" si="29"/>
        <v>1.780242919921875</v>
      </c>
      <c r="T45" s="6">
        <f t="shared" si="30"/>
        <v>-1.6005691981924031E-4</v>
      </c>
      <c r="U45" s="6">
        <f t="shared" si="31"/>
        <v>1.8762969750696357E-4</v>
      </c>
      <c r="V45" s="6">
        <f t="shared" si="32"/>
        <v>1.3781268026313853E-5</v>
      </c>
      <c r="W45" s="6" t="str">
        <f t="shared" si="36"/>
        <v>SI</v>
      </c>
      <c r="X45" t="str">
        <f t="shared" si="33"/>
        <v>b = 1,78024291992187</v>
      </c>
    </row>
    <row r="46" spans="5:42">
      <c r="S46" s="15" t="s">
        <v>27</v>
      </c>
    </row>
    <row r="56" spans="1:23" ht="28.5">
      <c r="A56" s="1" t="s">
        <v>30</v>
      </c>
    </row>
    <row r="58" spans="1:23">
      <c r="A58" s="2" t="s">
        <v>4</v>
      </c>
      <c r="B58" t="s">
        <v>23</v>
      </c>
      <c r="D58" s="3" t="s">
        <v>2</v>
      </c>
      <c r="E58" s="4">
        <v>1E-4</v>
      </c>
      <c r="G58" s="18" t="s">
        <v>7</v>
      </c>
      <c r="H58" s="18" t="s">
        <v>20</v>
      </c>
      <c r="I58" s="18" t="s">
        <v>32</v>
      </c>
      <c r="J58" s="18" t="s">
        <v>33</v>
      </c>
      <c r="K58" s="18" t="s">
        <v>2</v>
      </c>
      <c r="M58" s="18" t="s">
        <v>7</v>
      </c>
      <c r="N58" s="18" t="s">
        <v>20</v>
      </c>
      <c r="O58" s="18" t="s">
        <v>32</v>
      </c>
      <c r="P58" s="18" t="s">
        <v>33</v>
      </c>
      <c r="Q58" s="18" t="s">
        <v>2</v>
      </c>
      <c r="S58" s="18" t="s">
        <v>7</v>
      </c>
      <c r="T58" s="18" t="s">
        <v>20</v>
      </c>
      <c r="U58" s="18" t="s">
        <v>32</v>
      </c>
      <c r="V58" s="18" t="s">
        <v>33</v>
      </c>
      <c r="W58" s="18" t="s">
        <v>2</v>
      </c>
    </row>
    <row r="59" spans="1:23">
      <c r="G59" s="6">
        <v>0</v>
      </c>
      <c r="H59" s="6">
        <v>-2</v>
      </c>
      <c r="I59" s="6">
        <f>(H59^3)-(H59^2)*EXP(-0.5*H59)-3*H59+1</f>
        <v>-11.873127313836179</v>
      </c>
      <c r="J59" s="6">
        <f>3*(H59^2) + EXP(-0.5*H59) * (0.5*(H59^2) - 2*H59)-3</f>
        <v>25.309690970754271</v>
      </c>
      <c r="K59" s="4">
        <v>1E-4</v>
      </c>
      <c r="M59" s="6">
        <v>0</v>
      </c>
      <c r="N59" s="6">
        <v>0</v>
      </c>
      <c r="O59" s="6">
        <f>(N59^3)-(N59^2)*EXP(-0.5*N59)-3*N59+1</f>
        <v>1</v>
      </c>
      <c r="P59" s="6">
        <f>3*(N59^2) + EXP(-0.5*N59) * (0.5*(N59^2) - 2*N59)-3</f>
        <v>-3</v>
      </c>
      <c r="Q59" s="6">
        <v>1E-4</v>
      </c>
      <c r="S59" s="6">
        <v>0</v>
      </c>
      <c r="T59" s="6">
        <v>1.5</v>
      </c>
      <c r="U59" s="6">
        <f>(T59^3)-(T59^2)*EXP(-0.5*T59)-3*T59+1</f>
        <v>-1.1878247436672833</v>
      </c>
      <c r="V59" s="6">
        <f>3*(T59^2) + EXP(-0.5*T59) * (0.5*(T59^2) - 2*T59)-3</f>
        <v>2.8643127136105972</v>
      </c>
      <c r="W59" s="4">
        <v>1E-4</v>
      </c>
    </row>
    <row r="60" spans="1:23">
      <c r="A60" s="2" t="s">
        <v>3</v>
      </c>
      <c r="B60" t="s">
        <v>24</v>
      </c>
      <c r="D60" s="17" t="s">
        <v>31</v>
      </c>
      <c r="G60" s="6">
        <v>1</v>
      </c>
      <c r="H60" s="6">
        <f>H59-(I59/J59)</f>
        <v>-1.5308861207528865</v>
      </c>
      <c r="I60" s="6">
        <f>(H60^3)-(H60^2)*EXP(-0.5*H60)-3*H60+1</f>
        <v>-3.03378681142694</v>
      </c>
      <c r="J60" s="6">
        <f>3*(H60^2) + EXP(-0.5*H60) * (0.5*(H60^2) - 2*H60)-3</f>
        <v>13.132804936086512</v>
      </c>
      <c r="K60" s="6" t="str">
        <f>IF(ABS(I60)&lt;=0.0001, "SI","NO")</f>
        <v>NO</v>
      </c>
      <c r="M60" s="6">
        <v>1</v>
      </c>
      <c r="N60" s="6">
        <f>N59-(O59/P59)</f>
        <v>0.33333333333333331</v>
      </c>
      <c r="O60" s="6">
        <f>(N60^3)-(N60^2)*EXP(-0.5*N60)-3*N60+1</f>
        <v>-5.7016487950809047E-2</v>
      </c>
      <c r="P60" s="6">
        <f>3*(N60^2) + EXP(-0.5*N60) * (0.5*(N60^2) - 2*N60)-3</f>
        <v>-3.1839610540998198</v>
      </c>
      <c r="Q60" s="6" t="str">
        <f>IF(ABS(O60)&lt;=0.0001, "SI","NO")</f>
        <v>NO</v>
      </c>
      <c r="S60" s="6">
        <v>1</v>
      </c>
      <c r="T60" s="6">
        <f>T59-(U59/V59)</f>
        <v>1.9146979964942361</v>
      </c>
      <c r="U60" s="6">
        <f>(T60^3)-(T60^2)*EXP(-0.5*T60)-3*T60+1</f>
        <v>0.86788216982205491</v>
      </c>
      <c r="V60" s="6">
        <f>3*(T60^2) + EXP(-0.5*T60) * (0.5*(T60^2) - 2*T60)-3</f>
        <v>7.231783433540647</v>
      </c>
      <c r="W60" s="6" t="str">
        <f>IF(ABS(U60)&lt;=0.0001, "SI","NO")</f>
        <v>NO</v>
      </c>
    </row>
    <row r="61" spans="1:23">
      <c r="G61" s="6">
        <v>2</v>
      </c>
      <c r="H61" s="6">
        <f t="shared" ref="H61:H62" si="51">H60-(I60/J60)</f>
        <v>-1.2998778307347614</v>
      </c>
      <c r="I61" s="6">
        <f t="shared" ref="I61:I64" si="52">(H61^3)-(H61^2)*EXP(-0.5*H61)-3*H61+1</f>
        <v>-0.53320504101243582</v>
      </c>
      <c r="J61" s="6">
        <f t="shared" ref="J61:J62" si="53">3*(H61^2) + EXP(-0.5*H61) * (0.5*(H61^2) - 2*H61)-3</f>
        <v>8.6669099877047771</v>
      </c>
      <c r="K61" s="6" t="str">
        <f t="shared" ref="K61:K62" si="54">IF(ABS(I61)&lt;=0.0001, "SI","NO")</f>
        <v>NO</v>
      </c>
      <c r="M61" s="6">
        <v>2</v>
      </c>
      <c r="N61" s="6">
        <f t="shared" ref="N61:N62" si="55">N60-(O60/P60)</f>
        <v>0.31542592586759438</v>
      </c>
      <c r="O61" s="6">
        <f t="shared" ref="O61:O62" si="56">(N61^3)-(N61^2)*EXP(-0.5*N61)-3*N61+1</f>
        <v>1.2815252945630462E-4</v>
      </c>
      <c r="P61" s="6">
        <f t="shared" ref="P61:P62" si="57">3*(N61^2) + EXP(-0.5*N61) * (0.5*(N61^2) - 2*N61)-3</f>
        <v>-3.1978383554861312</v>
      </c>
      <c r="Q61" s="6" t="str">
        <f t="shared" ref="Q61:Q62" si="58">IF(ABS(O61)&lt;=0.0001, "SI","NO")</f>
        <v>NO</v>
      </c>
      <c r="S61" s="6">
        <v>2</v>
      </c>
      <c r="T61" s="6">
        <f>T60-(U60/V60)</f>
        <v>1.7946885717378391</v>
      </c>
      <c r="U61" s="6">
        <f>(T61^3)-(T61^2)*EXP(-0.5*T61)-3*T61+1</f>
        <v>8.3453960798730797E-2</v>
      </c>
      <c r="V61" s="6">
        <f>3*(T61^2) + EXP(-0.5*T61) * (0.5*(T61^2) - 2*T61)-3</f>
        <v>5.8560113618647804</v>
      </c>
      <c r="W61" s="6" t="str">
        <f>IF(ABS(U61)&lt;=0.0001, "SI","NO")</f>
        <v>NO</v>
      </c>
    </row>
    <row r="62" spans="1:23">
      <c r="A62" s="2" t="s">
        <v>39</v>
      </c>
      <c r="B62" t="s">
        <v>41</v>
      </c>
      <c r="G62" s="6">
        <v>3</v>
      </c>
      <c r="H62" s="6">
        <f t="shared" si="51"/>
        <v>-1.2383558994156567</v>
      </c>
      <c r="I62" s="6">
        <f t="shared" si="52"/>
        <v>-3.2353224373387057E-2</v>
      </c>
      <c r="J62" s="6">
        <f t="shared" si="53"/>
        <v>7.6250072164898057</v>
      </c>
      <c r="K62" s="6" t="str">
        <f t="shared" si="54"/>
        <v>NO</v>
      </c>
      <c r="M62" s="6">
        <v>3</v>
      </c>
      <c r="N62" s="2">
        <f t="shared" si="55"/>
        <v>0.31546600060409147</v>
      </c>
      <c r="O62" s="6">
        <f t="shared" si="56"/>
        <v>5.637309508088606E-10</v>
      </c>
      <c r="P62" s="6">
        <f t="shared" si="57"/>
        <v>-3.1978102193120295</v>
      </c>
      <c r="Q62" s="6" t="str">
        <f t="shared" si="58"/>
        <v>SI</v>
      </c>
      <c r="S62" s="6">
        <v>3</v>
      </c>
      <c r="T62" s="6">
        <f>T61-(U61/V61)</f>
        <v>1.7804375814917828</v>
      </c>
      <c r="U62" s="6">
        <f>(T62^3)-(T62^2)*EXP(-0.5*T62)-3*T62+1</f>
        <v>1.1228787822954445E-3</v>
      </c>
      <c r="V62" s="6">
        <f>3*(T62^2) + EXP(-0.5*T62) * (0.5*(T62^2) - 2*T62)-3</f>
        <v>5.6986383250784236</v>
      </c>
      <c r="W62" s="6" t="str">
        <f>IF(ABS(U62)&lt;=0.0001, "SI","NO")</f>
        <v>NO</v>
      </c>
    </row>
    <row r="63" spans="1:23">
      <c r="G63" s="6">
        <v>4</v>
      </c>
      <c r="H63" s="6">
        <f>H62-(I62/J62)</f>
        <v>-1.2341128576119165</v>
      </c>
      <c r="I63" s="6">
        <f>(H63^3)-(H63^2)*EXP(-0.5*H63)-3*H63+1</f>
        <v>-1.4794780078108971E-4</v>
      </c>
      <c r="J63" s="6">
        <f>3*(H63^2) + EXP(-0.5*H63) * (0.5*(H63^2) - 2*H63)-3</f>
        <v>7.5553166403749934</v>
      </c>
      <c r="K63" s="6" t="str">
        <f>IF(ABS(I63)&lt;=0.0001, "SI","NO")</f>
        <v>NO</v>
      </c>
      <c r="N63" s="15" t="s">
        <v>29</v>
      </c>
      <c r="S63" s="6">
        <v>4</v>
      </c>
      <c r="T63" s="2">
        <f>T62-(U62/V62)</f>
        <v>1.7802405381424349</v>
      </c>
      <c r="U63" s="6">
        <f>(T63^3)-(T63^2)*EXP(-0.5*T63)-3*T63+1</f>
        <v>2.1349850332086362E-7</v>
      </c>
      <c r="V63" s="6">
        <f>3*(T63^2) + EXP(-0.5*T63) * (0.5*(T63^2) - 2*T63)-3</f>
        <v>5.6964713451848432</v>
      </c>
      <c r="W63" s="6" t="str">
        <f>IF(ABS(U63)&lt;=0.0001, "SI","NO")</f>
        <v>SI</v>
      </c>
    </row>
    <row r="64" spans="1:23">
      <c r="G64" s="6">
        <v>5</v>
      </c>
      <c r="H64" s="2">
        <f t="shared" ref="H64" si="59">H63-(I63/J63)</f>
        <v>-1.2340932756661394</v>
      </c>
      <c r="I64" s="6">
        <f t="shared" si="52"/>
        <v>-3.1427775937231672E-9</v>
      </c>
      <c r="J64" s="6">
        <f t="shared" ref="J64" si="60">3*(H64^2) + EXP(-0.5*H64) * (0.5*(H64^2) - 2*H64)-3</f>
        <v>7.5549956541808818</v>
      </c>
      <c r="K64" s="6" t="str">
        <f t="shared" ref="K64" si="61">IF(ABS(I64)&lt;=0.0001, "SI","NO")</f>
        <v>SI</v>
      </c>
      <c r="T64" s="15" t="s">
        <v>29</v>
      </c>
    </row>
    <row r="65" spans="1:22">
      <c r="H65" s="15" t="s">
        <v>29</v>
      </c>
    </row>
    <row r="70" spans="1:22" ht="28.5">
      <c r="A70" s="1" t="s">
        <v>35</v>
      </c>
    </row>
    <row r="72" spans="1:22">
      <c r="A72" s="2" t="s">
        <v>4</v>
      </c>
      <c r="B72" t="s">
        <v>23</v>
      </c>
      <c r="D72" s="3" t="s">
        <v>2</v>
      </c>
      <c r="E72" s="4">
        <v>1E-4</v>
      </c>
      <c r="G72" s="19" t="s">
        <v>7</v>
      </c>
      <c r="H72" s="19" t="s">
        <v>20</v>
      </c>
      <c r="I72" s="19" t="s">
        <v>32</v>
      </c>
      <c r="J72" s="19" t="s">
        <v>2</v>
      </c>
      <c r="M72" s="19" t="s">
        <v>7</v>
      </c>
      <c r="N72" s="19" t="s">
        <v>20</v>
      </c>
      <c r="O72" s="19" t="s">
        <v>32</v>
      </c>
      <c r="P72" s="19" t="s">
        <v>2</v>
      </c>
      <c r="S72" s="19" t="s">
        <v>7</v>
      </c>
      <c r="T72" s="19" t="s">
        <v>20</v>
      </c>
      <c r="U72" s="19" t="s">
        <v>32</v>
      </c>
      <c r="V72" s="19" t="s">
        <v>2</v>
      </c>
    </row>
    <row r="73" spans="1:22">
      <c r="G73" s="6">
        <v>0</v>
      </c>
      <c r="H73" s="6">
        <v>-2</v>
      </c>
      <c r="I73" s="6">
        <f t="shared" ref="I73:I79" si="62">(H73^3)-(H73^2)*EXP(-0.5*H73)-3*H73+1</f>
        <v>-11.873127313836179</v>
      </c>
      <c r="J73" s="4">
        <v>1E-4</v>
      </c>
      <c r="M73" s="6">
        <v>0</v>
      </c>
      <c r="N73" s="6">
        <v>0</v>
      </c>
      <c r="O73" s="6">
        <f t="shared" ref="O73:O78" si="63">(N73^3)-(N73^2)*EXP(-0.5*N73)-3*N73+1</f>
        <v>1</v>
      </c>
      <c r="P73" s="4">
        <v>1E-4</v>
      </c>
      <c r="S73" s="6">
        <v>0</v>
      </c>
      <c r="T73" s="6">
        <v>1</v>
      </c>
      <c r="U73" s="6">
        <f t="shared" ref="U73:U80" si="64">(T73^3)-(T73^2)*EXP(-0.5*T73)-3*T73+1</f>
        <v>-1.6065306597126332</v>
      </c>
      <c r="V73" s="4">
        <v>1E-4</v>
      </c>
    </row>
    <row r="74" spans="1:22">
      <c r="A74" s="2" t="s">
        <v>3</v>
      </c>
      <c r="B74" t="s">
        <v>24</v>
      </c>
      <c r="D74" s="17" t="s">
        <v>31</v>
      </c>
      <c r="G74" s="6">
        <v>1</v>
      </c>
      <c r="H74" s="6">
        <v>-1</v>
      </c>
      <c r="I74" s="6">
        <f t="shared" si="62"/>
        <v>1.3512787292998718</v>
      </c>
      <c r="J74" s="6" t="str">
        <f t="shared" ref="J74:J79" si="65">IF(ABS(I74)&lt;=0.0001, "SI","NO")</f>
        <v>NO</v>
      </c>
      <c r="M74" s="6">
        <v>1</v>
      </c>
      <c r="N74" s="6">
        <v>1</v>
      </c>
      <c r="O74" s="6">
        <f t="shared" si="63"/>
        <v>-1.6065306597126332</v>
      </c>
      <c r="P74" s="6" t="str">
        <f>IF(ABS(O74)&lt;=0.0001, "SI","NO")</f>
        <v>NO</v>
      </c>
      <c r="S74" s="6">
        <v>1</v>
      </c>
      <c r="T74" s="6">
        <v>2</v>
      </c>
      <c r="U74" s="6">
        <f t="shared" si="64"/>
        <v>1.5284822353142307</v>
      </c>
      <c r="V74" s="6" t="str">
        <f t="shared" ref="V74:V80" si="66">IF(ABS(U74)&lt;=0.0001, "SI","NO")</f>
        <v>NO</v>
      </c>
    </row>
    <row r="75" spans="1:22">
      <c r="G75" s="6">
        <v>2</v>
      </c>
      <c r="H75" s="6">
        <f>H74-(I74*(H73-H74)/(I73-I74))</f>
        <v>-1.1021806744962459</v>
      </c>
      <c r="I75" s="6">
        <f t="shared" si="62"/>
        <v>0.85975380266030044</v>
      </c>
      <c r="J75" s="6" t="str">
        <f t="shared" si="65"/>
        <v>NO</v>
      </c>
      <c r="M75" s="6">
        <v>2</v>
      </c>
      <c r="N75" s="6">
        <f>N74-(O74*(N73-N74)/(O73-O74))</f>
        <v>0.38365173119055074</v>
      </c>
      <c r="O75" s="6">
        <f t="shared" si="63"/>
        <v>-0.21598297232874852</v>
      </c>
      <c r="P75" s="6" t="str">
        <f>IF(ABS(O75)&lt;=0.0001, "SI","NO")</f>
        <v>NO</v>
      </c>
      <c r="S75" s="6">
        <v>2</v>
      </c>
      <c r="T75" s="6">
        <f t="shared" ref="T75:T80" si="67">T74-(U74*(T73-T74)/(U73-U74))</f>
        <v>1.5124478633759708</v>
      </c>
      <c r="U75" s="6">
        <f t="shared" si="64"/>
        <v>-1.1514548029317089</v>
      </c>
      <c r="V75" s="6" t="str">
        <f t="shared" si="66"/>
        <v>NO</v>
      </c>
    </row>
    <row r="76" spans="1:22">
      <c r="G76" s="6">
        <v>3</v>
      </c>
      <c r="H76" s="6">
        <f>H75-(I75*(H74-H75)/(I74-I75))</f>
        <v>-1.280910620212633</v>
      </c>
      <c r="I76" s="6">
        <f t="shared" si="62"/>
        <v>-0.37193317628023337</v>
      </c>
      <c r="J76" s="6" t="str">
        <f t="shared" si="65"/>
        <v>NO</v>
      </c>
      <c r="M76" s="6">
        <v>3</v>
      </c>
      <c r="N76" s="6">
        <f>N75-(O75*(N74-N75)/(O74-O75))</f>
        <v>0.28791914158221388</v>
      </c>
      <c r="O76" s="6">
        <f t="shared" si="63"/>
        <v>8.8327559886050122E-2</v>
      </c>
      <c r="P76" s="6" t="str">
        <f>IF(ABS(O76)&lt;=0.0001, "SI","NO")</f>
        <v>NO</v>
      </c>
      <c r="S76" s="6">
        <v>3</v>
      </c>
      <c r="T76" s="6">
        <f t="shared" si="67"/>
        <v>1.7219282509311935</v>
      </c>
      <c r="U76" s="6">
        <f t="shared" si="64"/>
        <v>-0.31368603985038401</v>
      </c>
      <c r="V76" s="6" t="str">
        <f t="shared" si="66"/>
        <v>NO</v>
      </c>
    </row>
    <row r="77" spans="1:22">
      <c r="G77" s="6">
        <v>4</v>
      </c>
      <c r="H77" s="6">
        <f>H76-(I76*(H75-H76)/(I75-I76))</f>
        <v>-1.2269394428410332</v>
      </c>
      <c r="I77" s="6">
        <f t="shared" si="62"/>
        <v>5.36286640556769E-2</v>
      </c>
      <c r="J77" s="6" t="str">
        <f t="shared" si="65"/>
        <v>NO</v>
      </c>
      <c r="M77" s="6">
        <v>4</v>
      </c>
      <c r="N77" s="6">
        <f>N76-(O76*(N75-N76)/(O75-O76))</f>
        <v>0.31570597492030045</v>
      </c>
      <c r="O77" s="6">
        <f t="shared" si="63"/>
        <v>-7.6737151754913135E-4</v>
      </c>
      <c r="P77" s="6" t="str">
        <f>IF(ABS(O77)&lt;=0.0001, "SI","NO")</f>
        <v>NO</v>
      </c>
      <c r="S77" s="6">
        <v>4</v>
      </c>
      <c r="T77" s="6">
        <f t="shared" si="67"/>
        <v>1.8003640629288087</v>
      </c>
      <c r="U77" s="6">
        <f t="shared" si="64"/>
        <v>0.11686846884061541</v>
      </c>
      <c r="V77" s="6" t="str">
        <f t="shared" si="66"/>
        <v>NO</v>
      </c>
    </row>
    <row r="78" spans="1:22">
      <c r="G78" s="6">
        <v>5</v>
      </c>
      <c r="H78" s="6">
        <f>H77-(I77*(H76-H77)/(I76-I77))</f>
        <v>-1.2337408095652354</v>
      </c>
      <c r="I78" s="6">
        <f t="shared" si="62"/>
        <v>2.6618586341129458E-3</v>
      </c>
      <c r="J78" s="6" t="str">
        <f t="shared" si="65"/>
        <v>NO</v>
      </c>
      <c r="M78" s="6">
        <v>5</v>
      </c>
      <c r="N78" s="2">
        <f>N77-(O77*(N76-N77)/(O76-O77))</f>
        <v>0.3154666478998896</v>
      </c>
      <c r="O78" s="6">
        <f t="shared" si="63"/>
        <v>-2.0693652400538554E-6</v>
      </c>
      <c r="P78" s="6" t="str">
        <f>IF(ABS(O78)&lt;=0.0001, "SI","NO")</f>
        <v>SI</v>
      </c>
      <c r="S78" s="6">
        <v>5</v>
      </c>
      <c r="T78" s="6">
        <f t="shared" si="67"/>
        <v>1.7790736732908026</v>
      </c>
      <c r="U78" s="6">
        <f t="shared" si="64"/>
        <v>-6.6393138449374334E-3</v>
      </c>
      <c r="V78" s="6" t="str">
        <f t="shared" si="66"/>
        <v>NO</v>
      </c>
    </row>
    <row r="79" spans="1:22">
      <c r="G79" s="6">
        <v>6</v>
      </c>
      <c r="H79" s="2">
        <f>H78-(I78*(H77-H78)/(I77-I78))</f>
        <v>-1.2340960265851926</v>
      </c>
      <c r="I79" s="6">
        <f t="shared" si="62"/>
        <v>-2.0786386292215298E-5</v>
      </c>
      <c r="J79" s="6" t="str">
        <f t="shared" si="65"/>
        <v>SI</v>
      </c>
      <c r="N79" s="15" t="s">
        <v>29</v>
      </c>
      <c r="S79" s="6">
        <v>6</v>
      </c>
      <c r="T79" s="6">
        <f t="shared" si="67"/>
        <v>1.780218164557783</v>
      </c>
      <c r="U79" s="6">
        <f t="shared" si="64"/>
        <v>-1.2723423297789083E-4</v>
      </c>
      <c r="V79" s="6" t="str">
        <f t="shared" si="66"/>
        <v>NO</v>
      </c>
    </row>
    <row r="80" spans="1:22">
      <c r="H80" s="15" t="s">
        <v>29</v>
      </c>
      <c r="S80" s="6">
        <v>7</v>
      </c>
      <c r="T80" s="2">
        <f t="shared" si="67"/>
        <v>1.780240525842838</v>
      </c>
      <c r="U80" s="6">
        <f t="shared" si="64"/>
        <v>1.4343420229323556E-7</v>
      </c>
      <c r="V80" s="6" t="str">
        <f t="shared" si="66"/>
        <v>SI</v>
      </c>
    </row>
    <row r="81" spans="7:22">
      <c r="T81" s="15" t="s">
        <v>29</v>
      </c>
    </row>
    <row r="83" spans="7:22">
      <c r="G83" s="19" t="s">
        <v>7</v>
      </c>
      <c r="H83" s="19" t="s">
        <v>20</v>
      </c>
      <c r="I83" s="19" t="s">
        <v>32</v>
      </c>
      <c r="J83" s="19" t="s">
        <v>2</v>
      </c>
      <c r="M83" s="19" t="s">
        <v>7</v>
      </c>
      <c r="N83" s="19" t="s">
        <v>20</v>
      </c>
      <c r="O83" s="19" t="s">
        <v>32</v>
      </c>
      <c r="P83" s="19" t="s">
        <v>2</v>
      </c>
      <c r="S83" s="19" t="s">
        <v>7</v>
      </c>
      <c r="T83" s="19" t="s">
        <v>20</v>
      </c>
      <c r="U83" s="19" t="s">
        <v>32</v>
      </c>
      <c r="V83" s="19" t="s">
        <v>2</v>
      </c>
    </row>
    <row r="84" spans="7:22">
      <c r="G84" s="6">
        <v>0</v>
      </c>
      <c r="H84" s="6">
        <v>-1.3</v>
      </c>
      <c r="I84" s="6">
        <f t="shared" ref="I84:I89" si="68">(H84^3)-(H84^2)*EXP(-0.5*H84)-3*H84+1</f>
        <v>-0.5342640010334847</v>
      </c>
      <c r="J84" s="4">
        <v>1E-4</v>
      </c>
      <c r="M84" s="6">
        <v>0</v>
      </c>
      <c r="N84" s="6">
        <v>0.2</v>
      </c>
      <c r="O84" s="6">
        <f>(N84^3)-(N84^2)*EXP(-0.5*N84)-3*N84+1</f>
        <v>0.37180650327856157</v>
      </c>
      <c r="P84" s="4">
        <v>1E-4</v>
      </c>
      <c r="S84" s="6">
        <v>0</v>
      </c>
      <c r="T84" s="6">
        <v>1.5</v>
      </c>
      <c r="U84" s="6">
        <f t="shared" ref="U84:U89" si="69">(T84^3)-(T84^2)*EXP(-0.5*T84)-3*T84+1</f>
        <v>-1.1878247436672833</v>
      </c>
      <c r="V84" s="4">
        <v>1E-4</v>
      </c>
    </row>
    <row r="85" spans="7:22">
      <c r="G85" s="6">
        <v>1</v>
      </c>
      <c r="H85" s="6">
        <v>-1.1000000000000001</v>
      </c>
      <c r="I85" s="6">
        <f t="shared" si="68"/>
        <v>0.87176384838045129</v>
      </c>
      <c r="J85" s="6" t="str">
        <f>IF(ABS(I85)&lt;=0.0001, "SI","NO")</f>
        <v>NO</v>
      </c>
      <c r="M85" s="6">
        <v>1</v>
      </c>
      <c r="N85" s="6">
        <v>0.5</v>
      </c>
      <c r="O85" s="6">
        <f>(N85^3)-(N85^2)*EXP(-0.5*N85)-3*N85+1</f>
        <v>-0.56970019576785114</v>
      </c>
      <c r="P85" s="6" t="str">
        <f>IF(ABS(O85)&lt;=0.0001, "SI","NO")</f>
        <v>NO</v>
      </c>
      <c r="S85" s="6">
        <v>1</v>
      </c>
      <c r="T85" s="6">
        <v>2</v>
      </c>
      <c r="U85" s="6">
        <f t="shared" si="69"/>
        <v>1.5284822353142307</v>
      </c>
      <c r="V85" s="6" t="str">
        <f>IF(ABS(U85)&lt;=0.0001, "SI","NO")</f>
        <v>NO</v>
      </c>
    </row>
    <row r="86" spans="7:22">
      <c r="G86" s="6">
        <v>2</v>
      </c>
      <c r="H86" s="6">
        <f>H85-(I85*(H84-H85)/(I84-I85))</f>
        <v>-1.2240037811119919</v>
      </c>
      <c r="I86" s="6">
        <f t="shared" si="68"/>
        <v>7.5394382360272516E-2</v>
      </c>
      <c r="J86" s="6" t="str">
        <f>IF(ABS(I86)&lt;=0.0001, "SI","NO")</f>
        <v>NO</v>
      </c>
      <c r="M86" s="6">
        <v>2</v>
      </c>
      <c r="N86" s="6">
        <f>N85-(O85*(N84-N85)/(O84-O85))</f>
        <v>0.31847175500348712</v>
      </c>
      <c r="O86" s="6">
        <f>(N86^3)-(N86^2)*EXP(-0.5*N86)-3*N86+1</f>
        <v>-9.6086223202167531E-3</v>
      </c>
      <c r="P86" s="6" t="str">
        <f>IF(ABS(O86)&lt;=0.0001, "SI","NO")</f>
        <v>NO</v>
      </c>
      <c r="S86" s="6">
        <v>2</v>
      </c>
      <c r="T86" s="6">
        <f>T85-(U85*(T84-T85)/(U84-U85))</f>
        <v>1.7186469999264702</v>
      </c>
      <c r="U86" s="6">
        <f t="shared" si="69"/>
        <v>-0.33025150259725455</v>
      </c>
      <c r="V86" s="6" t="str">
        <f>IF(ABS(U86)&lt;=0.0001, "SI","NO")</f>
        <v>NO</v>
      </c>
    </row>
    <row r="87" spans="7:22">
      <c r="G87" s="6">
        <v>3</v>
      </c>
      <c r="H87" s="6">
        <f>H86-(I86*(H85-H86)/(I85-I86))</f>
        <v>-1.2357435437299626</v>
      </c>
      <c r="I87" s="6">
        <f t="shared" si="68"/>
        <v>-1.249010327176503E-2</v>
      </c>
      <c r="J87" s="6" t="str">
        <f>IF(ABS(I87)&lt;=0.0001, "SI","NO")</f>
        <v>NO</v>
      </c>
      <c r="M87" s="6">
        <v>3</v>
      </c>
      <c r="N87" s="6">
        <f>N86-(O86*(N85-N86)/(O85-O86))</f>
        <v>0.31535755648790037</v>
      </c>
      <c r="O87" s="6">
        <f>(N87^3)-(N87^2)*EXP(-0.5*N87)-3*N87+1</f>
        <v>3.4678839428581298E-4</v>
      </c>
      <c r="P87" s="6" t="str">
        <f>IF(ABS(O87)&lt;=0.0001, "SI","NO")</f>
        <v>NO</v>
      </c>
      <c r="S87" s="6">
        <v>3</v>
      </c>
      <c r="T87" s="6">
        <f>T86-(U86*(T85-T86)/(U85-U86))</f>
        <v>1.7686365434201674</v>
      </c>
      <c r="U87" s="6">
        <f t="shared" si="69"/>
        <v>-6.5362872245422032E-2</v>
      </c>
      <c r="V87" s="6" t="str">
        <f>IF(ABS(U87)&lt;=0.0001, "SI","NO")</f>
        <v>NO</v>
      </c>
    </row>
    <row r="88" spans="7:22">
      <c r="G88" s="6">
        <v>4</v>
      </c>
      <c r="H88" s="6">
        <f>H87-(I87*(H86-H87)/(I86-I87))</f>
        <v>-1.2340750939867577</v>
      </c>
      <c r="I88" s="6">
        <f t="shared" si="68"/>
        <v>1.3735665660608021E-4</v>
      </c>
      <c r="J88" s="6" t="str">
        <f>IF(ABS(I88)&lt;=0.0001, "SI","NO")</f>
        <v>NO</v>
      </c>
      <c r="M88" s="6">
        <v>4</v>
      </c>
      <c r="N88" s="2">
        <f>N87-(O87*(N86-N87)/(O86-O87))</f>
        <v>0.31546603698495657</v>
      </c>
      <c r="O88" s="6">
        <f>(N88^3)-(N88^2)*EXP(-0.5*N88)-3*N88+1</f>
        <v>-1.1577537084583867E-7</v>
      </c>
      <c r="P88" s="6" t="str">
        <f>IF(ABS(O88)&lt;=0.0001, "SI","NO")</f>
        <v>SI</v>
      </c>
      <c r="S88" s="6">
        <v>4</v>
      </c>
      <c r="T88" s="6">
        <f>T87-(U87*(T86-T87)/(U86-U87))</f>
        <v>1.7809717657384887</v>
      </c>
      <c r="U88" s="6">
        <f t="shared" si="69"/>
        <v>4.1685709323697751E-3</v>
      </c>
      <c r="V88" s="6" t="str">
        <f>IF(ABS(U88)&lt;=0.0001, "SI","NO")</f>
        <v>NO</v>
      </c>
    </row>
    <row r="89" spans="7:22">
      <c r="G89" s="6">
        <v>5</v>
      </c>
      <c r="H89" s="2">
        <f>H88-(I88*(H87-H88)/(I87-I88))</f>
        <v>-1.2340932427419105</v>
      </c>
      <c r="I89" s="6">
        <f t="shared" si="68"/>
        <v>2.4559962064074625E-7</v>
      </c>
      <c r="J89" s="6" t="str">
        <f>IF(ABS(I89)&lt;=0.0001, "SI","NO")</f>
        <v>SI</v>
      </c>
      <c r="N89" s="15" t="s">
        <v>29</v>
      </c>
      <c r="S89" s="6">
        <v>5</v>
      </c>
      <c r="T89" s="2">
        <f>T88-(U88*(T87-T88)/(U87-U88))</f>
        <v>1.7802322406135895</v>
      </c>
      <c r="U89" s="6">
        <f t="shared" si="69"/>
        <v>-4.7052758239907178E-5</v>
      </c>
      <c r="V89" s="6" t="str">
        <f>IF(ABS(U89)&lt;=0.0001, "SI","NO")</f>
        <v>SI</v>
      </c>
    </row>
    <row r="90" spans="7:22">
      <c r="H90" s="15" t="s">
        <v>29</v>
      </c>
      <c r="T90" s="15" t="s">
        <v>29</v>
      </c>
    </row>
  </sheetData>
  <mergeCells count="1">
    <mergeCell ref="AB34:AP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93773-E8E4-43D9-A26E-9585B2361A76}">
  <dimension ref="A1:W78"/>
  <sheetViews>
    <sheetView tabSelected="1" topLeftCell="A13" zoomScale="70" zoomScaleNormal="70" workbookViewId="0">
      <selection activeCell="K29" sqref="K29"/>
    </sheetView>
  </sheetViews>
  <sheetFormatPr baseColWidth="10" defaultRowHeight="15"/>
  <cols>
    <col min="2" max="2" width="11.85546875" bestFit="1" customWidth="1"/>
    <col min="20" max="21" width="14.85546875" bestFit="1" customWidth="1"/>
  </cols>
  <sheetData>
    <row r="1" spans="1:13">
      <c r="A1" t="s">
        <v>1</v>
      </c>
    </row>
    <row r="3" spans="1:13" ht="28.5">
      <c r="A3" s="1" t="s">
        <v>0</v>
      </c>
    </row>
    <row r="6" spans="1:13">
      <c r="A6" s="2" t="s">
        <v>4</v>
      </c>
      <c r="B6" t="s">
        <v>28</v>
      </c>
      <c r="D6" s="3" t="s">
        <v>2</v>
      </c>
      <c r="E6" s="4">
        <v>1E-4</v>
      </c>
    </row>
    <row r="8" spans="1:13">
      <c r="A8" s="2" t="s">
        <v>3</v>
      </c>
      <c r="B8" t="s">
        <v>28</v>
      </c>
    </row>
    <row r="11" spans="1:13">
      <c r="B11" s="8" t="s">
        <v>20</v>
      </c>
      <c r="C11" s="8" t="s">
        <v>21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11</v>
      </c>
      <c r="J11" s="5" t="s">
        <v>12</v>
      </c>
      <c r="K11" s="5" t="s">
        <v>13</v>
      </c>
      <c r="L11" s="5" t="s">
        <v>2</v>
      </c>
    </row>
    <row r="12" spans="1:13">
      <c r="B12" s="6">
        <v>0</v>
      </c>
      <c r="C12" s="6">
        <f>(COS(B12))^2 - 0.5*B12*EXP(0.3*B12)+5</f>
        <v>6</v>
      </c>
      <c r="E12" s="6">
        <v>0</v>
      </c>
      <c r="F12" s="6">
        <v>3</v>
      </c>
      <c r="G12" s="6">
        <v>4</v>
      </c>
      <c r="H12" s="6">
        <f t="shared" ref="H12:H21" si="0">(F12+G12)/2</f>
        <v>3.5</v>
      </c>
      <c r="I12" s="6">
        <f>(COS(F12))^2 - 0.5*F12*EXP(0.3*F12)+5</f>
        <v>2.2906804765897588</v>
      </c>
      <c r="J12" s="6">
        <f t="shared" ref="J12:K12" si="1">(COS(G12))^2 - 0.5*G12*EXP(0.3*G12)+5</f>
        <v>-1.212983862377401</v>
      </c>
      <c r="K12" s="6">
        <f t="shared" si="1"/>
        <v>0.87606167056111595</v>
      </c>
      <c r="L12" s="4">
        <v>1E-4</v>
      </c>
      <c r="M12" t="str">
        <f t="shared" ref="M12:M21" si="2">IF(K12*J12&lt;0, "a = "&amp;H12, IF(K12*I12&lt;0, "b = "&amp;H12, "ERROR"))</f>
        <v>a = 3,5</v>
      </c>
    </row>
    <row r="13" spans="1:13">
      <c r="B13" s="6">
        <v>1</v>
      </c>
      <c r="C13" s="6">
        <f>(COS(B13))^2 - 0.5*B13*EXP(0.3*B13)+5</f>
        <v>4.6169971779384271</v>
      </c>
      <c r="E13" s="6">
        <v>1</v>
      </c>
      <c r="F13" s="6">
        <f>+H12</f>
        <v>3.5</v>
      </c>
      <c r="G13" s="6">
        <f>+G12</f>
        <v>4</v>
      </c>
      <c r="H13" s="6">
        <f t="shared" si="0"/>
        <v>3.75</v>
      </c>
      <c r="I13" s="6">
        <f t="shared" ref="I13:I21" si="3">(COS(F13))^2 - 0.5*F13*EXP(0.3*F13)+5</f>
        <v>0.87606167056111595</v>
      </c>
      <c r="J13" s="6">
        <f t="shared" ref="J13" si="4">(COS(G13))^2 - 0.5*G13*EXP(0.3*G13)+5</f>
        <v>-1.212983862377401</v>
      </c>
      <c r="K13" s="6">
        <f t="shared" ref="K13" si="5">(COS(H13))^2 - 0.5*H13*EXP(0.3*H13)+5</f>
        <v>-0.10208893280379527</v>
      </c>
      <c r="L13" s="6" t="str">
        <f t="shared" ref="L13:L21" si="6">IF(ABS(K13)&lt;=0.0001, "SI","NO")</f>
        <v>NO</v>
      </c>
      <c r="M13" t="str">
        <f t="shared" si="2"/>
        <v>b = 3,75</v>
      </c>
    </row>
    <row r="14" spans="1:13">
      <c r="B14" s="6">
        <v>2</v>
      </c>
      <c r="C14" s="6">
        <f>(COS(B14))^2 - 0.5*B14*EXP(0.3*B14)+5</f>
        <v>3.351059389177685</v>
      </c>
      <c r="E14" s="6">
        <v>2</v>
      </c>
      <c r="F14" s="6">
        <f>+F13</f>
        <v>3.5</v>
      </c>
      <c r="G14" s="6">
        <f>+H13</f>
        <v>3.75</v>
      </c>
      <c r="H14" s="6">
        <f t="shared" si="0"/>
        <v>3.625</v>
      </c>
      <c r="I14" s="6">
        <f t="shared" si="3"/>
        <v>0.87606167056111595</v>
      </c>
      <c r="J14" s="6">
        <f t="shared" ref="J14" si="7">(COS(G14))^2 - 0.5*G14*EXP(0.3*G14)+5</f>
        <v>-0.10208893280379527</v>
      </c>
      <c r="K14" s="6">
        <f t="shared" ref="K14" si="8">(COS(H14))^2 - 0.5*H14*EXP(0.3*H14)+5</f>
        <v>0.40655067707081294</v>
      </c>
      <c r="L14" s="6" t="str">
        <f t="shared" si="6"/>
        <v>NO</v>
      </c>
      <c r="M14" t="str">
        <f t="shared" si="2"/>
        <v>a = 3,625</v>
      </c>
    </row>
    <row r="15" spans="1:13">
      <c r="B15" s="16">
        <v>3</v>
      </c>
      <c r="C15" s="16">
        <f t="shared" ref="C15:C42" si="9">(COS(B15))^2 - 0.5*B15*EXP(0.3*B15)+5</f>
        <v>2.2906804765897588</v>
      </c>
      <c r="E15" s="6">
        <v>3</v>
      </c>
      <c r="F15" s="6">
        <f>+H14</f>
        <v>3.625</v>
      </c>
      <c r="G15" s="6">
        <f>+G14</f>
        <v>3.75</v>
      </c>
      <c r="H15" s="6">
        <f t="shared" si="0"/>
        <v>3.6875</v>
      </c>
      <c r="I15" s="6">
        <f t="shared" si="3"/>
        <v>0.40655067707081294</v>
      </c>
      <c r="J15" s="6">
        <f t="shared" ref="J15" si="10">(COS(G15))^2 - 0.5*G15*EXP(0.3*G15)+5</f>
        <v>-0.10208893280379527</v>
      </c>
      <c r="K15" s="6">
        <f t="shared" ref="K15" si="11">(COS(H15))^2 - 0.5*H15*EXP(0.3*H15)+5</f>
        <v>0.15677999132921183</v>
      </c>
      <c r="L15" s="6" t="str">
        <f t="shared" si="6"/>
        <v>NO</v>
      </c>
      <c r="M15" t="str">
        <f t="shared" si="2"/>
        <v>a = 3,6875</v>
      </c>
    </row>
    <row r="16" spans="1:13">
      <c r="B16" s="16">
        <v>4</v>
      </c>
      <c r="C16" s="16">
        <f t="shared" si="9"/>
        <v>-1.212983862377401</v>
      </c>
      <c r="E16" s="6">
        <v>4</v>
      </c>
      <c r="F16" s="6">
        <f>+H15</f>
        <v>3.6875</v>
      </c>
      <c r="G16" s="6">
        <f>+G15</f>
        <v>3.75</v>
      </c>
      <c r="H16" s="6">
        <f t="shared" si="0"/>
        <v>3.71875</v>
      </c>
      <c r="I16" s="6">
        <f t="shared" si="3"/>
        <v>0.15677999132921183</v>
      </c>
      <c r="J16" s="6">
        <f t="shared" ref="J16:J18" si="12">(COS(G16))^2 - 0.5*G16*EXP(0.3*G16)+5</f>
        <v>-0.10208893280379527</v>
      </c>
      <c r="K16" s="6">
        <f t="shared" ref="K16:K18" si="13">(COS(H16))^2 - 0.5*H16*EXP(0.3*H16)+5</f>
        <v>2.8436804737782317E-2</v>
      </c>
      <c r="L16" s="6" t="str">
        <f t="shared" si="6"/>
        <v>NO</v>
      </c>
      <c r="M16" t="str">
        <f t="shared" si="2"/>
        <v>a = 3,71875</v>
      </c>
    </row>
    <row r="17" spans="2:13">
      <c r="B17" s="6">
        <v>5</v>
      </c>
      <c r="C17" s="6">
        <f t="shared" si="9"/>
        <v>-6.1237584403833871</v>
      </c>
      <c r="E17" s="6">
        <v>5</v>
      </c>
      <c r="F17" s="6">
        <f>+H16</f>
        <v>3.71875</v>
      </c>
      <c r="G17" s="6">
        <f>+G16</f>
        <v>3.75</v>
      </c>
      <c r="H17" s="6">
        <f t="shared" si="0"/>
        <v>3.734375</v>
      </c>
      <c r="I17" s="6">
        <f t="shared" si="3"/>
        <v>2.8436804737782317E-2</v>
      </c>
      <c r="J17" s="6">
        <f t="shared" si="12"/>
        <v>-0.10208893280379527</v>
      </c>
      <c r="K17" s="6">
        <f t="shared" si="13"/>
        <v>-3.6559165284978157E-2</v>
      </c>
      <c r="L17" s="6" t="str">
        <f t="shared" si="6"/>
        <v>NO</v>
      </c>
      <c r="M17" t="str">
        <f t="shared" si="2"/>
        <v>b = 3,734375</v>
      </c>
    </row>
    <row r="18" spans="2:13">
      <c r="B18" s="6">
        <v>6</v>
      </c>
      <c r="C18" s="6">
        <f t="shared" si="9"/>
        <v>-12.227015413872586</v>
      </c>
      <c r="E18" s="6">
        <v>6</v>
      </c>
      <c r="F18" s="6">
        <f>+F17</f>
        <v>3.71875</v>
      </c>
      <c r="G18" s="6">
        <f>+H17</f>
        <v>3.734375</v>
      </c>
      <c r="H18" s="6">
        <f t="shared" si="0"/>
        <v>3.7265625</v>
      </c>
      <c r="I18" s="6">
        <f t="shared" si="3"/>
        <v>2.8436804737782317E-2</v>
      </c>
      <c r="J18" s="6">
        <f t="shared" si="12"/>
        <v>-3.6559165284978157E-2</v>
      </c>
      <c r="K18" s="6">
        <f t="shared" si="13"/>
        <v>-3.9937086888297557E-3</v>
      </c>
      <c r="L18" s="6" t="str">
        <f t="shared" si="6"/>
        <v>NO</v>
      </c>
      <c r="M18" t="str">
        <f t="shared" si="2"/>
        <v>b = 3,7265625</v>
      </c>
    </row>
    <row r="19" spans="2:13">
      <c r="B19" s="6">
        <v>7</v>
      </c>
      <c r="C19" s="6">
        <f t="shared" si="9"/>
        <v>-23.013226084882863</v>
      </c>
      <c r="E19" s="6">
        <v>7</v>
      </c>
      <c r="F19" s="6">
        <f>+F18</f>
        <v>3.71875</v>
      </c>
      <c r="G19" s="6">
        <f>+H18</f>
        <v>3.7265625</v>
      </c>
      <c r="H19" s="6">
        <f t="shared" si="0"/>
        <v>3.72265625</v>
      </c>
      <c r="I19" s="6">
        <f t="shared" si="3"/>
        <v>2.8436804737782317E-2</v>
      </c>
      <c r="J19" s="6">
        <f t="shared" ref="J19" si="14">(COS(G19))^2 - 0.5*G19*EXP(0.3*G19)+5</f>
        <v>-3.9937086888297557E-3</v>
      </c>
      <c r="K19" s="6">
        <f t="shared" ref="K19" si="15">(COS(H19))^2 - 0.5*H19*EXP(0.3*H19)+5</f>
        <v>1.2238508701804207E-2</v>
      </c>
      <c r="L19" s="6" t="str">
        <f t="shared" si="6"/>
        <v>NO</v>
      </c>
      <c r="M19" t="str">
        <f t="shared" si="2"/>
        <v>a = 3,72265625</v>
      </c>
    </row>
    <row r="20" spans="2:13">
      <c r="B20" s="6">
        <v>8</v>
      </c>
      <c r="C20" s="6">
        <f t="shared" si="9"/>
        <v>-39.071535262728098</v>
      </c>
      <c r="E20" s="6">
        <v>8</v>
      </c>
      <c r="F20" s="6">
        <f>+H19</f>
        <v>3.72265625</v>
      </c>
      <c r="G20" s="6">
        <f>+G19</f>
        <v>3.7265625</v>
      </c>
      <c r="H20" s="6">
        <f t="shared" si="0"/>
        <v>3.724609375</v>
      </c>
      <c r="I20" s="6">
        <f t="shared" si="3"/>
        <v>1.2238508701804207E-2</v>
      </c>
      <c r="J20" s="6">
        <f t="shared" ref="J20" si="16">(COS(G20))^2 - 0.5*G20*EXP(0.3*G20)+5</f>
        <v>-3.9937086888297557E-3</v>
      </c>
      <c r="K20" s="6">
        <f t="shared" ref="K20" si="17">(COS(H20))^2 - 0.5*H20*EXP(0.3*H20)+5</f>
        <v>4.1266286048040612E-3</v>
      </c>
      <c r="L20" s="6" t="str">
        <f t="shared" si="6"/>
        <v>NO</v>
      </c>
      <c r="M20" t="str">
        <f t="shared" si="2"/>
        <v>a = 3,724609375</v>
      </c>
    </row>
    <row r="21" spans="2:13">
      <c r="B21" s="6">
        <v>9</v>
      </c>
      <c r="C21" s="6">
        <f t="shared" si="9"/>
        <v>-61.128634407805706</v>
      </c>
      <c r="E21" s="6">
        <v>9</v>
      </c>
      <c r="F21" s="6">
        <f>+H20</f>
        <v>3.724609375</v>
      </c>
      <c r="G21" s="6">
        <f>+G20</f>
        <v>3.7265625</v>
      </c>
      <c r="H21" s="2">
        <f t="shared" si="0"/>
        <v>3.7255859375</v>
      </c>
      <c r="I21" s="6">
        <f t="shared" si="3"/>
        <v>4.1266286048040612E-3</v>
      </c>
      <c r="J21" s="6">
        <f t="shared" ref="J21" si="18">(COS(G21))^2 - 0.5*G21*EXP(0.3*G21)+5</f>
        <v>-3.9937086888297557E-3</v>
      </c>
      <c r="K21" s="6">
        <f t="shared" ref="K21" si="19">(COS(H21))^2 - 0.5*H21*EXP(0.3*H21)+5</f>
        <v>6.7515658837891124E-5</v>
      </c>
      <c r="L21" s="6" t="str">
        <f t="shared" si="6"/>
        <v>SI</v>
      </c>
      <c r="M21" t="str">
        <f t="shared" si="2"/>
        <v>a = 3,7255859375</v>
      </c>
    </row>
    <row r="22" spans="2:13">
      <c r="B22" s="6">
        <v>10</v>
      </c>
      <c r="C22" s="6">
        <f t="shared" si="9"/>
        <v>-94.723643585031652</v>
      </c>
      <c r="H22" s="15" t="s">
        <v>29</v>
      </c>
    </row>
    <row r="23" spans="2:13">
      <c r="B23" s="6">
        <v>11</v>
      </c>
      <c r="C23" s="6">
        <f t="shared" si="9"/>
        <v>-144.11949447681567</v>
      </c>
    </row>
    <row r="24" spans="2:13">
      <c r="B24" s="6">
        <v>12</v>
      </c>
      <c r="C24" s="6">
        <f t="shared" si="9"/>
        <v>-213.87731715839936</v>
      </c>
    </row>
    <row r="25" spans="2:13">
      <c r="B25" s="6">
        <v>13</v>
      </c>
      <c r="C25" s="6">
        <f t="shared" si="9"/>
        <v>-315.2924595247818</v>
      </c>
    </row>
    <row r="26" spans="2:13">
      <c r="B26" s="6">
        <v>14</v>
      </c>
      <c r="C26" s="6">
        <f t="shared" si="9"/>
        <v>-461.78562021963285</v>
      </c>
      <c r="E26" s="15" t="s">
        <v>64</v>
      </c>
    </row>
    <row r="27" spans="2:13">
      <c r="B27" s="6">
        <v>15</v>
      </c>
      <c r="C27" s="6">
        <f t="shared" si="9"/>
        <v>-669.55135902896973</v>
      </c>
    </row>
    <row r="28" spans="2:13">
      <c r="B28" s="6">
        <v>16</v>
      </c>
      <c r="C28" s="6">
        <f t="shared" si="9"/>
        <v>-966.16622846962559</v>
      </c>
    </row>
    <row r="29" spans="2:13">
      <c r="B29" s="6">
        <v>17</v>
      </c>
      <c r="C29" s="6">
        <f t="shared" si="9"/>
        <v>-1389.1104971865566</v>
      </c>
      <c r="E29" s="15" t="s">
        <v>38</v>
      </c>
      <c r="K29" s="15" t="s">
        <v>43</v>
      </c>
    </row>
    <row r="30" spans="2:13">
      <c r="B30" s="6">
        <v>18</v>
      </c>
      <c r="C30" s="6">
        <f t="shared" si="9"/>
        <v>-1987.2217276824965</v>
      </c>
    </row>
    <row r="31" spans="2:13">
      <c r="B31" s="6">
        <v>19</v>
      </c>
      <c r="C31" s="6">
        <f>(COS(B31))^2 - 0.5*B31*EXP(0.3*B31)+5</f>
        <v>-2833.2627723650494</v>
      </c>
    </row>
    <row r="32" spans="2:13">
      <c r="B32" s="6">
        <v>20</v>
      </c>
      <c r="C32" s="6">
        <f t="shared" si="9"/>
        <v>-4029.1214039581773</v>
      </c>
    </row>
    <row r="33" spans="2:23">
      <c r="B33" s="6">
        <v>21</v>
      </c>
      <c r="C33" s="6">
        <f t="shared" si="9"/>
        <v>-5712.7050489797484</v>
      </c>
    </row>
    <row r="34" spans="2:23">
      <c r="B34" s="6">
        <v>22</v>
      </c>
      <c r="C34" s="6">
        <f t="shared" si="9"/>
        <v>-8080.0471600073752</v>
      </c>
    </row>
    <row r="35" spans="2:23">
      <c r="B35" s="6">
        <v>23</v>
      </c>
      <c r="C35" s="6">
        <f t="shared" si="9"/>
        <v>-11405.875318430233</v>
      </c>
      <c r="S35" t="s">
        <v>58</v>
      </c>
    </row>
    <row r="36" spans="2:23">
      <c r="B36" s="6">
        <v>24</v>
      </c>
      <c r="C36" s="6">
        <f t="shared" si="9"/>
        <v>-16067.989244902737</v>
      </c>
      <c r="S36" t="s">
        <v>59</v>
      </c>
      <c r="T36" s="26">
        <v>3.7256021794624301</v>
      </c>
    </row>
    <row r="37" spans="2:23">
      <c r="B37" s="6">
        <v>25</v>
      </c>
      <c r="C37" s="6">
        <f t="shared" si="9"/>
        <v>-22594.547697686543</v>
      </c>
    </row>
    <row r="38" spans="2:23">
      <c r="B38" s="6">
        <v>26</v>
      </c>
      <c r="C38" s="6">
        <f t="shared" si="9"/>
        <v>-31722.407204508876</v>
      </c>
    </row>
    <row r="39" spans="2:23" ht="23.25">
      <c r="B39" s="6">
        <v>27</v>
      </c>
      <c r="C39" s="6">
        <f t="shared" si="9"/>
        <v>-44470.233671248272</v>
      </c>
      <c r="S39" s="24" t="s">
        <v>47</v>
      </c>
      <c r="T39" s="24"/>
      <c r="U39" s="24"/>
      <c r="V39" s="24"/>
      <c r="W39" s="24"/>
    </row>
    <row r="40" spans="2:23">
      <c r="B40" s="6">
        <v>28</v>
      </c>
      <c r="C40" s="6">
        <f t="shared" si="9"/>
        <v>-62253.007857744153</v>
      </c>
      <c r="S40" s="22" t="s">
        <v>52</v>
      </c>
      <c r="T40" s="22" t="s">
        <v>48</v>
      </c>
      <c r="U40" s="22" t="s">
        <v>50</v>
      </c>
      <c r="V40" s="22" t="s">
        <v>51</v>
      </c>
      <c r="W40" s="22" t="s">
        <v>55</v>
      </c>
    </row>
    <row r="41" spans="2:23">
      <c r="B41" s="6">
        <v>29</v>
      </c>
      <c r="C41" s="6">
        <f t="shared" si="9"/>
        <v>-87036.667560217029</v>
      </c>
      <c r="S41" s="23" t="s">
        <v>49</v>
      </c>
      <c r="T41" s="6">
        <f>ABS($T$36-H21)</f>
        <v>1.6241962430108003E-5</v>
      </c>
      <c r="U41" s="6">
        <f>T41/ABS($T$36)</f>
        <v>4.3595536097876046E-6</v>
      </c>
      <c r="V41" s="6">
        <f>U41*100</f>
        <v>4.3595536097876047E-4</v>
      </c>
      <c r="W41" s="6">
        <v>10</v>
      </c>
    </row>
    <row r="42" spans="2:23">
      <c r="B42" s="6">
        <v>30</v>
      </c>
      <c r="C42" s="6">
        <f t="shared" si="9"/>
        <v>-121541.23512012097</v>
      </c>
      <c r="S42" s="23" t="s">
        <v>54</v>
      </c>
      <c r="T42" s="6">
        <f>ABS($T$36-H63)</f>
        <v>7.5417494471707869E-10</v>
      </c>
      <c r="U42" s="6">
        <f t="shared" ref="U42:U43" si="20">T42/ABS($T$36)</f>
        <v>2.0243034773667089E-10</v>
      </c>
      <c r="V42" s="6">
        <f t="shared" ref="V42:V43" si="21">U42*100</f>
        <v>2.0243034773667088E-8</v>
      </c>
      <c r="W42" s="6">
        <v>5</v>
      </c>
    </row>
    <row r="43" spans="2:23">
      <c r="S43" s="23" t="s">
        <v>53</v>
      </c>
      <c r="T43" s="6">
        <f>ABS($T$36-H78)</f>
        <v>1.1304881697427049E-7</v>
      </c>
      <c r="U43" s="6">
        <f t="shared" si="20"/>
        <v>3.0343770356764821E-8</v>
      </c>
      <c r="V43" s="6">
        <f t="shared" si="21"/>
        <v>3.0343770356764819E-6</v>
      </c>
      <c r="W43" s="6">
        <v>6</v>
      </c>
    </row>
    <row r="56" spans="1:17" ht="28.5">
      <c r="A56" s="1" t="s">
        <v>30</v>
      </c>
    </row>
    <row r="58" spans="1:17">
      <c r="A58" s="2" t="s">
        <v>4</v>
      </c>
      <c r="B58" t="s">
        <v>28</v>
      </c>
      <c r="D58" s="3" t="s">
        <v>2</v>
      </c>
      <c r="E58" s="4">
        <v>1E-4</v>
      </c>
      <c r="G58" s="18" t="s">
        <v>7</v>
      </c>
      <c r="H58" s="18" t="s">
        <v>20</v>
      </c>
      <c r="I58" s="18" t="s">
        <v>32</v>
      </c>
      <c r="J58" s="18" t="s">
        <v>33</v>
      </c>
      <c r="K58" s="18" t="s">
        <v>2</v>
      </c>
      <c r="M58" s="18" t="s">
        <v>7</v>
      </c>
      <c r="N58" s="18" t="s">
        <v>20</v>
      </c>
      <c r="O58" s="18" t="s">
        <v>32</v>
      </c>
      <c r="P58" s="18" t="s">
        <v>33</v>
      </c>
      <c r="Q58" s="18" t="s">
        <v>2</v>
      </c>
    </row>
    <row r="59" spans="1:17">
      <c r="G59" s="6">
        <v>0</v>
      </c>
      <c r="H59" s="6">
        <v>3</v>
      </c>
      <c r="I59" s="6">
        <f>(COS(H59))^2 - 0.5*H59*EXP(0.3*H59)+5</f>
        <v>2.2906804765897588</v>
      </c>
      <c r="J59" s="6">
        <f>-SIN(2*H59) -EXP(0.3*H59)*(0.5+0.15*H59)</f>
        <v>-2.057207457400176</v>
      </c>
      <c r="K59" s="4">
        <v>1E-4</v>
      </c>
      <c r="M59" s="6">
        <v>0</v>
      </c>
      <c r="N59" s="6">
        <v>3.5</v>
      </c>
      <c r="O59" s="6">
        <f>(COS(N59))^2 - 0.5*N59*EXP(0.3*N59)+5</f>
        <v>0.87606167056111595</v>
      </c>
      <c r="P59" s="6">
        <f>-SIN(2*N59) -EXP(0.3*N59)*(0.5+0.15*N59)</f>
        <v>-3.5860789947335316</v>
      </c>
      <c r="Q59" s="4">
        <v>1E-4</v>
      </c>
    </row>
    <row r="60" spans="1:17">
      <c r="A60" s="2" t="s">
        <v>3</v>
      </c>
      <c r="B60" t="s">
        <v>28</v>
      </c>
      <c r="D60" s="17" t="s">
        <v>31</v>
      </c>
      <c r="G60" s="6">
        <v>1</v>
      </c>
      <c r="H60" s="6">
        <f>H59-(I59/J59)</f>
        <v>4.1134902648489504</v>
      </c>
      <c r="I60" s="6">
        <f>(COS(H60))^2 - 0.5*H60*EXP(0.3*H60)+5</f>
        <v>-1.7473374442184539</v>
      </c>
      <c r="J60" s="6">
        <f>-SIN(2*H60) -EXP(0.3*H60)*(0.5+0.15*H60)</f>
        <v>-4.7683302679123969</v>
      </c>
      <c r="K60" s="6" t="str">
        <f>IF(ABS(I60)&lt;=0.0001, "SI","NO")</f>
        <v>NO</v>
      </c>
      <c r="M60" s="6">
        <v>1</v>
      </c>
      <c r="N60" s="6">
        <f>N59-(O59/P59)</f>
        <v>3.7442951401370936</v>
      </c>
      <c r="O60" s="6">
        <f>(COS(N60))^2 - 0.5*N60*EXP(0.3*N60)+5</f>
        <v>-7.8102181147251315E-2</v>
      </c>
      <c r="P60" s="6">
        <f>-SIN(2*N60) -EXP(0.3*N60)*(0.5+0.15*N60)</f>
        <v>-4.1984867244486175</v>
      </c>
      <c r="Q60" s="6" t="str">
        <f>IF(ABS(O60)&lt;=0.0001, "SI","NO")</f>
        <v>NO</v>
      </c>
    </row>
    <row r="61" spans="1:17">
      <c r="G61" s="6">
        <v>2</v>
      </c>
      <c r="H61" s="6">
        <f>H60-(I60/J60)</f>
        <v>3.7470438683027965</v>
      </c>
      <c r="I61" s="6">
        <f>(COS(H61))^2 - 0.5*H61*EXP(0.3*H61)+5</f>
        <v>-8.9650810797873071E-2</v>
      </c>
      <c r="J61" s="6">
        <f>-SIN(2*H61) -EXP(0.3*H61)*(0.5+0.15*H61)</f>
        <v>-4.2043988793151126</v>
      </c>
      <c r="K61" s="6" t="str">
        <f>IF(ABS(I61)&lt;=0.0001, "SI","NO")</f>
        <v>NO</v>
      </c>
      <c r="M61" s="6">
        <v>2</v>
      </c>
      <c r="N61" s="6">
        <f>N60-(O60/P60)</f>
        <v>3.7256926801858814</v>
      </c>
      <c r="O61" s="6">
        <f>(COS(N61))^2 - 0.5*N61*EXP(0.3*N61)+5</f>
        <v>-3.7629175216125077E-4</v>
      </c>
      <c r="P61" s="6">
        <f>-SIN(2*N61) -EXP(0.3*N61)*(0.5+0.15*N61)</f>
        <v>-4.1578494960558432</v>
      </c>
      <c r="Q61" s="6" t="str">
        <f>IF(ABS(O61)&lt;=0.0001, "SI","NO")</f>
        <v>NO</v>
      </c>
    </row>
    <row r="62" spans="1:17">
      <c r="A62" s="2" t="s">
        <v>39</v>
      </c>
      <c r="B62" t="s">
        <v>42</v>
      </c>
      <c r="G62" s="6">
        <v>3</v>
      </c>
      <c r="H62" s="6">
        <f>H61-(I61/J61)</f>
        <v>3.7257207699547927</v>
      </c>
      <c r="I62" s="6">
        <f>(COS(H62))^2 - 0.5*H62*EXP(0.3*H62)+5</f>
        <v>-4.9308565697803175E-4</v>
      </c>
      <c r="J62" s="6">
        <f>-SIN(2*H62) -EXP(0.3*H62)*(0.5+0.15*H62)</f>
        <v>-4.1579116752682959</v>
      </c>
      <c r="K62" s="6" t="str">
        <f>IF(ABS(I62)&lt;=0.0001, "SI","NO")</f>
        <v>NO</v>
      </c>
      <c r="M62" s="6">
        <v>3</v>
      </c>
      <c r="N62" s="2">
        <f>N61-(O61/P61)</f>
        <v>3.7256021786531734</v>
      </c>
      <c r="O62" s="6">
        <f>(COS(N62))^2 - 0.5*N62*EXP(0.3*N62)+5</f>
        <v>-9.0657943374594652E-9</v>
      </c>
      <c r="P62" s="6">
        <f>-SIN(2*N62) -EXP(0.3*N62)*(0.5+0.15*N62)</f>
        <v>-4.1576491461214049</v>
      </c>
      <c r="Q62" s="6" t="str">
        <f>IF(ABS(O62)&lt;=0.0001, "SI","NO")</f>
        <v>SI</v>
      </c>
    </row>
    <row r="63" spans="1:17">
      <c r="G63" s="6">
        <v>4</v>
      </c>
      <c r="H63" s="2">
        <f>H62-(I62/J62)</f>
        <v>3.7256021802166051</v>
      </c>
      <c r="I63" s="6">
        <f>(COS(H63))^2 - 0.5*H63*EXP(0.3*H63)+5</f>
        <v>-1.5565994715416309E-8</v>
      </c>
      <c r="J63" s="6">
        <f>-SIN(2*H63) -EXP(0.3*H63)*(0.5+0.15*H63)</f>
        <v>-4.1576491495827099</v>
      </c>
      <c r="K63" s="6" t="str">
        <f>IF(ABS(I63)&lt;=0.0001, "SI","NO")</f>
        <v>SI</v>
      </c>
    </row>
    <row r="70" spans="1:16" ht="28.5">
      <c r="A70" s="1" t="s">
        <v>35</v>
      </c>
    </row>
    <row r="72" spans="1:16">
      <c r="A72" s="2" t="s">
        <v>4</v>
      </c>
      <c r="B72" t="s">
        <v>23</v>
      </c>
      <c r="D72" s="3" t="s">
        <v>2</v>
      </c>
      <c r="E72" s="4">
        <v>1E-4</v>
      </c>
      <c r="G72" s="19" t="s">
        <v>7</v>
      </c>
      <c r="H72" s="19" t="s">
        <v>20</v>
      </c>
      <c r="I72" s="19" t="s">
        <v>32</v>
      </c>
      <c r="J72" s="19" t="s">
        <v>2</v>
      </c>
      <c r="M72" s="19" t="s">
        <v>7</v>
      </c>
      <c r="N72" s="19" t="s">
        <v>20</v>
      </c>
      <c r="O72" s="19" t="s">
        <v>32</v>
      </c>
      <c r="P72" s="19" t="s">
        <v>2</v>
      </c>
    </row>
    <row r="73" spans="1:16">
      <c r="G73" s="6">
        <v>0</v>
      </c>
      <c r="H73" s="6">
        <v>3</v>
      </c>
      <c r="I73" s="6">
        <f t="shared" ref="I73:I78" si="22">(COS(H73))^2 - 0.5*H73*EXP(0.3*H73)+5</f>
        <v>2.2906804765897588</v>
      </c>
      <c r="J73" s="4">
        <v>1E-4</v>
      </c>
      <c r="M73" s="6">
        <v>0</v>
      </c>
      <c r="N73" s="6">
        <v>3.5</v>
      </c>
      <c r="O73" s="6">
        <f>(COS(N73))^2 - 0.5*N73*EXP(0.3*N73)+5</f>
        <v>0.87606167056111595</v>
      </c>
      <c r="P73" s="4">
        <v>1E-4</v>
      </c>
    </row>
    <row r="74" spans="1:16">
      <c r="A74" s="2" t="s">
        <v>3</v>
      </c>
      <c r="B74" t="s">
        <v>24</v>
      </c>
      <c r="D74" s="17" t="s">
        <v>31</v>
      </c>
      <c r="G74" s="6">
        <v>1</v>
      </c>
      <c r="H74" s="6">
        <v>4</v>
      </c>
      <c r="I74" s="6">
        <f t="shared" si="22"/>
        <v>-1.212983862377401</v>
      </c>
      <c r="J74" s="6" t="str">
        <f>IF(ABS(I74)&lt;=0.0001, "SI","NO")</f>
        <v>NO</v>
      </c>
      <c r="M74" s="6">
        <v>1</v>
      </c>
      <c r="N74" s="6">
        <v>4</v>
      </c>
      <c r="O74" s="6">
        <f>(COS(N74))^2 - 0.5*N74*EXP(0.3*N74)+5</f>
        <v>-1.212983862377401</v>
      </c>
      <c r="P74" s="6" t="str">
        <f>IF(ABS(O74)&lt;=0.0001, "SI","NO")</f>
        <v>NO</v>
      </c>
    </row>
    <row r="75" spans="1:16">
      <c r="G75" s="6">
        <v>2</v>
      </c>
      <c r="H75" s="6">
        <f>H74-(I74*(H73-H74)/(I73-I74))</f>
        <v>3.6537956422118407</v>
      </c>
      <c r="I75" s="6">
        <f t="shared" si="22"/>
        <v>0.29265006210311029</v>
      </c>
      <c r="J75" s="6" t="str">
        <f>IF(ABS(I75)&lt;=0.0001, "SI","NO")</f>
        <v>NO</v>
      </c>
      <c r="M75" s="6">
        <v>2</v>
      </c>
      <c r="N75" s="6">
        <f>N74-(O74*(N73-N74)/(O73-O74))</f>
        <v>3.7096798889129095</v>
      </c>
      <c r="O75" s="6">
        <f>(COS(N75))^2 - 0.5*N75*EXP(0.3*N75)+5</f>
        <v>6.5916563616481127E-2</v>
      </c>
      <c r="P75" s="6" t="str">
        <f>IF(ABS(O75)&lt;=0.0001, "SI","NO")</f>
        <v>NO</v>
      </c>
    </row>
    <row r="76" spans="1:16">
      <c r="G76" s="6">
        <v>3</v>
      </c>
      <c r="H76" s="6">
        <f>H75-(I75*(H74-H75)/(I74-I75))</f>
        <v>3.7210873823617776</v>
      </c>
      <c r="I76" s="6">
        <f t="shared" si="22"/>
        <v>1.8748318639778994E-2</v>
      </c>
      <c r="J76" s="6" t="str">
        <f>IF(ABS(I76)&lt;=0.0001, "SI","NO")</f>
        <v>NO</v>
      </c>
      <c r="M76" s="6">
        <v>3</v>
      </c>
      <c r="N76" s="6">
        <f>N75-(O75*(N74-N75)/(O74-O75))</f>
        <v>3.7246434495487923</v>
      </c>
      <c r="O76" s="6">
        <f>(COS(N76))^2 - 0.5*N76*EXP(0.3*N76)+5</f>
        <v>3.985032246614395E-3</v>
      </c>
      <c r="P76" s="6" t="str">
        <f>IF(ABS(O76)&lt;=0.0001, "SI","NO")</f>
        <v>NO</v>
      </c>
    </row>
    <row r="77" spans="1:16">
      <c r="G77" s="6">
        <v>4</v>
      </c>
      <c r="H77" s="6">
        <f>H76-(I76*(H75-H76)/(I75-I76))</f>
        <v>3.7256934391550054</v>
      </c>
      <c r="I77" s="6">
        <f t="shared" si="22"/>
        <v>-3.794474321878738E-4</v>
      </c>
      <c r="J77" s="6" t="str">
        <f>IF(ABS(I77)&lt;=0.0001, "SI","NO")</f>
        <v>NO</v>
      </c>
      <c r="M77" s="6">
        <v>4</v>
      </c>
      <c r="N77" s="2">
        <f>N76-(O76*(N75-N76)/(O75-O76))</f>
        <v>3.7256062914217316</v>
      </c>
      <c r="O77" s="6">
        <f>(COS(N77))^2 - 0.5*N77*EXP(0.3*N77)+5</f>
        <v>-1.7108533203469278E-5</v>
      </c>
      <c r="P77" s="6" t="str">
        <f>IF(ABS(O77)&lt;=0.0001, "SI","NO")</f>
        <v>SI</v>
      </c>
    </row>
    <row r="78" spans="1:16">
      <c r="G78" s="6">
        <v>5</v>
      </c>
      <c r="H78" s="2">
        <f>H77-(I77*(H76-H77)/(I76-I77))</f>
        <v>3.7256020664136131</v>
      </c>
      <c r="I78" s="6">
        <f t="shared" si="22"/>
        <v>4.5758690347952324E-7</v>
      </c>
      <c r="J78" s="6" t="str">
        <f>IF(ABS(I78)&lt;=0.0001, "SI","NO")</f>
        <v>SI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EJERCICIO-1</vt:lpstr>
      <vt:lpstr>EJERCICIO-2</vt:lpstr>
      <vt:lpstr>EJERCICIO-3</vt:lpstr>
      <vt:lpstr>EJERCICIO-4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Once</dc:creator>
  <cp:lastModifiedBy>josefernandezS45@gmail.com</cp:lastModifiedBy>
  <dcterms:created xsi:type="dcterms:W3CDTF">2025-11-20T01:39:42Z</dcterms:created>
  <dcterms:modified xsi:type="dcterms:W3CDTF">2025-11-25T02:36:09Z</dcterms:modified>
</cp:coreProperties>
</file>